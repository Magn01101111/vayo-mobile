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4"/>
    <sheet state="visible" name="Información del Documento" sheetId="2" r:id="rId5"/>
    <sheet state="hidden" name="Matriz" sheetId="3" r:id="rId6"/>
    <sheet state="visible" name="Matriz de Riesgos" sheetId="4" r:id="rId7"/>
    <sheet state="visible" name="Matriz Impacto y Probabilidad" sheetId="5" r:id="rId8"/>
    <sheet state="visible" name="Matriz Registro de Riesgos Exam" sheetId="6" r:id="rId9"/>
  </sheets>
  <externalReferences>
    <externalReference r:id="rId10"/>
    <externalReference r:id="rId11"/>
    <externalReference r:id="rId12"/>
    <externalReference r:id="rId13"/>
  </externalReferences>
  <definedNames>
    <definedName name="FechaControl">'[1]Tabla (H)'!$P$6:$P$25</definedName>
    <definedName name="ImpactoRiesgo">'Información'!$I$9:$K$9</definedName>
    <definedName name="ListaFechas">#REF!</definedName>
    <definedName name="ProbabilidadRiesgo">'Información'!$H$6:$H$8</definedName>
    <definedName name="EstadoRiesgos">'Información'!$B$18:$B$21</definedName>
    <definedName name="MatrizRiesgo">'Información'!$I$6:$K$8</definedName>
    <definedName name="Criticidad">'Información'!$B$4:$B$6</definedName>
    <definedName name="Estado">'Información'!$B$9:$B$12</definedName>
    <definedName name="PrioridadRiesgo">'Información'!$H$6:$H$8</definedName>
    <definedName localSheetId="2" name="ListaFechas">#REF!</definedName>
  </definedNames>
  <calcPr/>
  <extLst>
    <ext uri="GoogleSheetsCustomDataVersion2">
      <go:sheetsCustomData xmlns:go="http://customooxmlschemas.google.com/" r:id="rId14" roundtripDataChecksum="8tqq6d5HxmTuWmTdPPKO+CZMdvoBfBoKfSGShcbEaw4="/>
    </ext>
  </extLst>
</workbook>
</file>

<file path=xl/sharedStrings.xml><?xml version="1.0" encoding="utf-8"?>
<sst xmlns="http://schemas.openxmlformats.org/spreadsheetml/2006/main" count="590" uniqueCount="264">
  <si>
    <t>Ejemplo</t>
  </si>
  <si>
    <t>Tabla de Criticidad</t>
  </si>
  <si>
    <t>Se ve con una lista (ProbabilidadRiesgo)</t>
  </si>
  <si>
    <t>Se ve con una lista (ImpactoRiesgo)</t>
  </si>
  <si>
    <t>Alto</t>
  </si>
  <si>
    <t>Matriz de Riesgos  - Criticidad</t>
  </si>
  <si>
    <t>Criticidad</t>
  </si>
  <si>
    <t>Probabilidad</t>
  </si>
  <si>
    <t>Impacto</t>
  </si>
  <si>
    <t>Medio</t>
  </si>
  <si>
    <t>Alta</t>
  </si>
  <si>
    <t>Bajo</t>
  </si>
  <si>
    <t>Media</t>
  </si>
  <si>
    <t>Baja</t>
  </si>
  <si>
    <t>Estado</t>
  </si>
  <si>
    <t>Abierto</t>
  </si>
  <si>
    <t>Cerrado</t>
  </si>
  <si>
    <t>Eliminado</t>
  </si>
  <si>
    <t>Problema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</si>
  <si>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</si>
  <si>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</si>
  <si>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</si>
  <si>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</si>
  <si>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</si>
  <si>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</si>
  <si>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</si>
  <si>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</si>
  <si>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</si>
  <si>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Pendiente</t>
  </si>
  <si>
    <t>Baja prioridad y monitorear Riesgo</t>
  </si>
  <si>
    <t>Titulo Organización</t>
  </si>
  <si>
    <t>VAYO Solutions SPA</t>
  </si>
  <si>
    <t>Nombre proyecto</t>
  </si>
  <si>
    <t>ElTinySaaS</t>
  </si>
  <si>
    <t>Fecha</t>
  </si>
  <si>
    <t xml:space="preserve">Información del documento </t>
  </si>
  <si>
    <t xml:space="preserve">&lt;Incorporara una breve descrición del contenido del documento,  &gt; </t>
  </si>
  <si>
    <t>Nombre Archivo</t>
  </si>
  <si>
    <t>Registro de Riesgos.XLS</t>
  </si>
  <si>
    <t xml:space="preserve">        </t>
  </si>
  <si>
    <t>Historial Estructura Documento</t>
  </si>
  <si>
    <t>Autor / Responsable</t>
  </si>
  <si>
    <t>Versión</t>
  </si>
  <si>
    <t>Descripción</t>
  </si>
  <si>
    <t>Gestión de Proyectos y Calidad</t>
  </si>
  <si>
    <t>1.0</t>
  </si>
  <si>
    <t>Versión Inicial</t>
  </si>
  <si>
    <t>Historial Contenido Documento y Bitácora</t>
  </si>
  <si>
    <t>Jorge Escobar</t>
  </si>
  <si>
    <t>1.1</t>
  </si>
  <si>
    <t>Documento Inicial</t>
  </si>
  <si>
    <t>1.2</t>
  </si>
  <si>
    <t>Se agregan riesgos 3, 4</t>
  </si>
  <si>
    <t>1.3</t>
  </si>
  <si>
    <t>Se elimina riesgos 2,3,4. Se agrega riesgo 5</t>
  </si>
  <si>
    <t>1.4</t>
  </si>
  <si>
    <t>Se baja probabilidad a riesgo 1</t>
  </si>
  <si>
    <t>1.5</t>
  </si>
  <si>
    <t>se agregan riesgos    6, 7, 8, 9</t>
  </si>
  <si>
    <t>Muy Bajo</t>
  </si>
  <si>
    <t>Muy Alto</t>
  </si>
  <si>
    <t>ID</t>
  </si>
  <si>
    <t>Fecha Creación</t>
  </si>
  <si>
    <t>Tipo</t>
  </si>
  <si>
    <t>Riesgo (Evento)</t>
  </si>
  <si>
    <t>Causa</t>
  </si>
  <si>
    <t>Efecto</t>
  </si>
  <si>
    <t>Probabilidad Ocurrencia</t>
  </si>
  <si>
    <t>Probabilidad (numérico)</t>
  </si>
  <si>
    <t>Impacto (numérico)</t>
  </si>
  <si>
    <t>Respuesta</t>
  </si>
  <si>
    <t>Responsable</t>
  </si>
  <si>
    <t>Fecha de Compromiso</t>
  </si>
  <si>
    <t>Comentarios</t>
  </si>
  <si>
    <t>Técnico</t>
  </si>
  <si>
    <t>Perdida de documentacion critica del proyecto</t>
  </si>
  <si>
    <t>Ausencia de respaldos, errores humanos, corrupcion de archivos, falla en credenciales de acceso</t>
  </si>
  <si>
    <t>Pérdida de registros vitales para el desarrollo del proyecto yperdida de coerencia entre entregas</t>
  </si>
  <si>
    <t>medio</t>
  </si>
  <si>
    <t>Mitigar: implementar respaldos automáticos y control de versiones de todos los archivos</t>
  </si>
  <si>
    <t>Equipo Backend</t>
  </si>
  <si>
    <t>Realizar chequeos regulares a los archivos criticos</t>
  </si>
  <si>
    <t>Personal de desarrollo con falta de conocimientos tecnicos</t>
  </si>
  <si>
    <t>Falta de conocimientos en tecnologías, arquitectura o integración</t>
  </si>
  <si>
    <t>Retrasos, errores técnicos y retrabajo</t>
  </si>
  <si>
    <t xml:space="preserve"> Muy Alto</t>
  </si>
  <si>
    <t>Mitigar: capacitar al equipo y asignar tareas según nivel de experiencia</t>
  </si>
  <si>
    <t>Líder Técnico</t>
  </si>
  <si>
    <t>Priorizar tecnologías conocidas</t>
  </si>
  <si>
    <t>Calendario</t>
  </si>
  <si>
    <t>Retraso en el levantamiento de requerimientos</t>
  </si>
  <si>
    <t>Baja disponibilidad del cliente o del equipo</t>
  </si>
  <si>
    <t>Demora en el diseño y desarrollo del proyecto</t>
  </si>
  <si>
    <t>Mitigar: planificar reuniones y validar requerimientos tempranamente</t>
  </si>
  <si>
    <t>Equipo Desarrollo</t>
  </si>
  <si>
    <t>Mantener actas de reunión</t>
  </si>
  <si>
    <t>Gestión</t>
  </si>
  <si>
    <t>Problemas de comunicación entre integrantes del equipo</t>
  </si>
  <si>
    <t>Falta de coordinación y seguimiento de tareas</t>
  </si>
  <si>
    <t>Inconsistencias, duplicidad de trabajo y retrasos</t>
  </si>
  <si>
    <t>Mitigar: realizar reuniones semanales y utilizar herramientas colaborativas</t>
  </si>
  <si>
    <t>Definir claramente roles y tareas</t>
  </si>
  <si>
    <t>Corrupción o incompatibilidad entre versiones del software</t>
  </si>
  <si>
    <t>Cambios simultáneos sin control de versiones adecuado</t>
  </si>
  <si>
    <t>Fallas en el sistema y pérdida de avances</t>
  </si>
  <si>
    <t>Mitigar: utilizar Git y definir un flujo de ramas de trabajo</t>
  </si>
  <si>
    <t>Establecer revisiones antes de fusionar cambios</t>
  </si>
  <si>
    <t>Seguridad</t>
  </si>
  <si>
    <t xml:space="preserve">Vulnerabilidades de seguridad en el sistema
</t>
  </si>
  <si>
    <t>Falta de validaciones, permisos o controles de acceso</t>
  </si>
  <si>
    <t>Robo, modificación o filtración de datos</t>
  </si>
  <si>
    <t>Mitigar: implementar autenticación, roles y validación de datos</t>
  </si>
  <si>
    <t>Revisar accesos al panel administrador</t>
  </si>
  <si>
    <t>Costos</t>
  </si>
  <si>
    <t>Problemas de presupuesto por factores externos</t>
  </si>
  <si>
    <t>Aumento en costos de hosting, dominio, herramientas o infraestructura</t>
  </si>
  <si>
    <t>Limitación del alcance o retrasos en despliegue</t>
  </si>
  <si>
    <t>Mitigar: considerar margen de contingencia y alternativas gratuitas</t>
  </si>
  <si>
    <t>Equipo General</t>
  </si>
  <si>
    <t>Revisar presupuesto periódicamente</t>
  </si>
  <si>
    <t>Calidad</t>
  </si>
  <si>
    <t>Falta de pruebas funcionales antes de la entrega</t>
  </si>
  <si>
    <t>Poco tiempo asignado a la fase de testing por presión de plazos</t>
  </si>
  <si>
    <t>Dificultad al verificar al estabilidad del producto</t>
  </si>
  <si>
    <t xml:space="preserve">Mitigar: revisar constantemente lso plazos de entrega y definir pruebas prioritarias </t>
  </si>
  <si>
    <t>Verificar que pruebas se concretaron</t>
  </si>
  <si>
    <t>Fallas en la integración entre frontend y backend</t>
  </si>
  <si>
    <t>Diferencias en la lógica implementada por distintos integrantes</t>
  </si>
  <si>
    <t>Errores en formularios, consultas y módulos del sistema</t>
  </si>
  <si>
    <t>Mitigar: documentar APIs y validar estructura de datos antes de desarrollar</t>
  </si>
  <si>
    <t>Realizar pruebas de integración frecuentes</t>
  </si>
  <si>
    <t xml:space="preserve">Acumulación de deuda técnica </t>
  </si>
  <si>
    <t>Equipo sin experiencia calibrando sprints y velocidad en etapas iniciales</t>
  </si>
  <si>
    <t>Retraso en hitos y presentación final</t>
  </si>
  <si>
    <t>Mitigar: dividir tareas grandes en subtareas y monitorear avances</t>
  </si>
  <si>
    <t>Revisar cronograma semanalmente</t>
  </si>
  <si>
    <t>Fallas en el cálculo de cotizaciones y ventas</t>
  </si>
  <si>
    <t>Errores en fórmulas o lógica de negocio</t>
  </si>
  <si>
    <t>Información incorrecta para clientes y empresa</t>
  </si>
  <si>
    <t>Mitigar: validar cálculos con múltiples casos de prueba</t>
  </si>
  <si>
    <t>Revisar reglas de negocio con el cliente</t>
  </si>
  <si>
    <t>Requerimientos mal interpretados por el equipo</t>
  </si>
  <si>
    <t>Levantamiento incompleto o mala comunicación con el cliente</t>
  </si>
  <si>
    <t>Desarrollo de funciones que no cumplen las necesidades reales</t>
  </si>
  <si>
    <t>Mitigar: validar requerimientos mediante reuniones y prototipos</t>
  </si>
  <si>
    <t>Product Owner</t>
  </si>
  <si>
    <t>Solicitar aprobación de funcionalidades</t>
  </si>
  <si>
    <t>Transmisión de datos sin cifrado</t>
  </si>
  <si>
    <t>El sistema se desarrolla sin HTTPS configurado en todas los sprints</t>
  </si>
  <si>
    <t>Riesgo de acceso no autorizado</t>
  </si>
  <si>
    <t>bajo</t>
  </si>
  <si>
    <t>alto</t>
  </si>
  <si>
    <t xml:space="preserve">Mitigar: veroificar que los protocolos de https y medidas de seguridad similares esten implementadas </t>
  </si>
  <si>
    <t>Incluir requisitos mínimos de seguridad</t>
  </si>
  <si>
    <t>Caída del servidor o del servicio de hosting</t>
  </si>
  <si>
    <t>Fallas del proveedor o problemas de infraestructura</t>
  </si>
  <si>
    <t>Interrupción del sistema y pérdida de acceso</t>
  </si>
  <si>
    <t>Transferir: contratar un proveedor confiable y con soporte</t>
  </si>
  <si>
    <t>Revisar disponibilidad del proveedor</t>
  </si>
  <si>
    <t>Ausencia o baja participación de integrantes del equipo</t>
  </si>
  <si>
    <t>Problemas personales, académicos o desmotivación</t>
  </si>
  <si>
    <t>Sobrecarga de trabajo y retrasos</t>
  </si>
  <si>
    <t>Mitigar: redistribuir tareas y hacer seguimiento individual</t>
  </si>
  <si>
    <t>Scrum Master</t>
  </si>
  <si>
    <t>Mantener registro de responsabilidades</t>
  </si>
  <si>
    <t>No establecer un proceso formal de revisión de código dentro del flujo de trabajo del equipo</t>
  </si>
  <si>
    <t>El equipo no definió una práctica de code review como parte de su Definition of Done en Scrum</t>
  </si>
  <si>
    <t>Calidad / Errores detectados tardíamente en los sprints, aumentando el retrabajo</t>
  </si>
  <si>
    <t>Mitigar: asignar responsable del catálogo y revisar periódicamente</t>
  </si>
  <si>
    <t>Administrador</t>
  </si>
  <si>
    <t>Actualizar catálogo cada semana</t>
  </si>
  <si>
    <t>Cambio de framework o arquitectura a mitad del proyecto</t>
  </si>
  <si>
    <t xml:space="preserve">Se consideran nuevas herramientasa mitad del desarroollo, descuidando la compatibilidad y el dominio de dicha herramienta </t>
  </si>
  <si>
    <t>Aumento considerable en la deuda tecnica</t>
  </si>
  <si>
    <t>Muy bajo</t>
  </si>
  <si>
    <t>Mitigar: no desviarse de  las herramientas que conoce el equipo de desarrollo durante los sprints</t>
  </si>
  <si>
    <t>no tentarse por novedades tecnologicas</t>
  </si>
  <si>
    <t>Errores en la generación de documentos PDF</t>
  </si>
  <si>
    <t>Problemas con librerías o formatos de exportación</t>
  </si>
  <si>
    <t>No se pueden descargar cotizaciones</t>
  </si>
  <si>
    <t xml:space="preserve">Mitigar: realizar pruebas de generación en diferentes escenarios </t>
  </si>
  <si>
    <t>Integrante 2</t>
  </si>
  <si>
    <t>Validar diseño y compatibilidad del PDF</t>
  </si>
  <si>
    <t>Ausencia de autenticación implementada en los módulos del sistema</t>
  </si>
  <si>
    <t>Falta de protección en capaz vitales del proyecto</t>
  </si>
  <si>
    <t>perdida de confienza si el prolema pasa al producto final y posibles consecuencias legales</t>
  </si>
  <si>
    <t>Mitigar: restringir accesos y proteger tanto las capas del proyecto y asegurar la base de datos</t>
  </si>
  <si>
    <t>Revisar permisos y encriptación</t>
  </si>
  <si>
    <t>Cambios frecuentes en el alcance del proyecto</t>
  </si>
  <si>
    <t>Nuevos requerimientos o falta de definición inicial</t>
  </si>
  <si>
    <t>Retrasos, aumento de trabajo y desorden en la planificación</t>
  </si>
  <si>
    <t>Mitigar: definir alcance inicial y controlar solicitudes de cambio</t>
  </si>
  <si>
    <t>Registrar cambios solicitados</t>
  </si>
  <si>
    <t>Bajo nivel de precisión del modelo de IA para reconocimiento de repuestos</t>
  </si>
  <si>
    <t>Dataset insuficiente, imágenes de baja calidad o pocas variaciones de productos</t>
  </si>
  <si>
    <t>Identificación incorrecta de repuestos y pérdida de confianza en la herramienta</t>
  </si>
  <si>
    <t>Mitigar: recopilar un dataset más amplio, incluir imágenes en distintos ángulos y realizar entrenamiento iterativo del modelo</t>
  </si>
  <si>
    <t>Equipo IA / Backend</t>
  </si>
  <si>
    <t>Validar precisión mínima antes de integrar al sistema</t>
  </si>
  <si>
    <t>Alto tiempo de procesamiento del modelo de IA
Causa: Modelo demasiado pesado o infraestructura insuficiente para ejecutar inferencias</t>
  </si>
  <si>
    <t>Modelo demasiado pesado o infraestructura insuficiente para ejecutar inferenciasProbabilidad Ocurrencia: Medio</t>
  </si>
  <si>
    <t>Lentitud en la detección de imágenes y mala experiencia de usuario</t>
  </si>
  <si>
    <t>Mitigar: optimizar el modelo, reducir tamaño de imágenes y evaluar procesamiento en la nube</t>
  </si>
  <si>
    <t>Probar rendimiento antes del despliegue</t>
  </si>
  <si>
    <t>No validar la compatibilidad de la app en dispositivos Android e iOS durante el desarrollo</t>
  </si>
  <si>
    <t>Diferencias de versiones del sistema operativo y limitaciones de Ionic/Angular</t>
  </si>
  <si>
    <t>Funcionalidades que no se comportan igual en todos los dispositivos</t>
  </si>
  <si>
    <t>Mitigar: realizar pruebas en distintos dispositivos y versiones de sistema operativo</t>
  </si>
  <si>
    <t>Equipo desarrollo</t>
  </si>
  <si>
    <t>Priorizar pruebas en Android por disponibilidad</t>
  </si>
  <si>
    <t>No definir una estrategia de sincronización de datos entre la app móvil y la plataforma web desde el inicio</t>
  </si>
  <si>
    <t>Problemas en la API, conexión inestable o diferencias en la estructura de datos</t>
  </si>
  <si>
    <t>Información inconsistente entre ambas plataformas</t>
  </si>
  <si>
    <t>Mitigar: documentar APIs, validar estructuras de datos y realizar pruebas de sincronización</t>
  </si>
  <si>
    <t>Revisar sincronización de clientes, productos y cotizaciones</t>
  </si>
  <si>
    <t>Dependencia del integrante senior</t>
  </si>
  <si>
    <t xml:space="preserve">Brecha de habilidades entre los miembros del equipo es notorial a la hora de desarrollar </t>
  </si>
  <si>
    <t>Dependecia total del avance del proyecto de un integrante</t>
  </si>
  <si>
    <t>Mitigar: Distribucion de tareas y incentivar el aprendisaje entre los miembros del equipo para que ganen experiencia y durante el desarrolo</t>
  </si>
  <si>
    <t>Registrar el avance de cada miembro</t>
  </si>
  <si>
    <t xml:space="preserve">Bajo </t>
  </si>
  <si>
    <t>Registro de Riesgos</t>
  </si>
  <si>
    <t>probabilidad</t>
  </si>
  <si>
    <t>impacto</t>
  </si>
  <si>
    <t>Respuesta (Evitar, Transferir, Mitigar)</t>
  </si>
  <si>
    <t xml:space="preserve">Corrupción  entre versiones de SW.
</t>
  </si>
  <si>
    <t xml:space="preserve">Software se podría corromper debido a administración inadecuada de la configuración, múltiples versiones de desarrollo y/o testing.
</t>
  </si>
  <si>
    <t xml:space="preserve">Evitar:
1) Postergar Mejoras complejas hasta fin proyecto.
2) Examinar por un comité los nuevos requerimientos, categorizar en funcionales / No funcionales
3)Uso de plan de mejora, en base a plan contratado por cliente.
</t>
  </si>
  <si>
    <t>LG</t>
  </si>
  <si>
    <t xml:space="preserve">Cierre tardío de revisión del levantamiento </t>
  </si>
  <si>
    <t xml:space="preserve">Se planificó cierre del levantamiento para 30 de Marzo, se estima que se extenderá hasta segunda semana Abril
</t>
  </si>
  <si>
    <t>Plazo</t>
  </si>
  <si>
    <t xml:space="preserve">
Mitigar:
-Se dividió la tarea de revisión en dos grandes Requerimiento.
- el primero se cierre 07 de Abril, el segundo se cierra 13 de Abril
 </t>
  </si>
  <si>
    <t xml:space="preserve">Adjudicación tardía a proveedor tecnológico
</t>
  </si>
  <si>
    <t>Se estimó que el equipo de trabajo debería iniciar el 19 de Abril, pero cierre tardío de definiciones impide generar adjudicacion de provedoor para dominio web</t>
  </si>
  <si>
    <t xml:space="preserve">
Mitigar:
-Se reprograma incio para el 1 de Mayo
- se acuerda de manera interna 
- se publicará con lo cerrado hasta la fecha 16 de mayo
- despriorizar desarrollo de  mantenedores</t>
  </si>
  <si>
    <t xml:space="preserve">LG
</t>
  </si>
  <si>
    <t xml:space="preserve">
31-05-2017
</t>
  </si>
  <si>
    <t>Falla en presupuesto de servidor para desarrollo de proyecto</t>
  </si>
  <si>
    <t xml:space="preserve">Presupuesto podría ser no acorde a los precios del mercado por el plazo y necesidades que implica la  ejecución
</t>
  </si>
  <si>
    <t>Costo</t>
  </si>
  <si>
    <t xml:space="preserve">
Mitigar:  -
- Limitar alcance de Proyecto
- Mejorar rendimiento de sistema de archivos, mediante script de pruebas
- Definir planes de almacenamiento, acorde a necesidad de operacional 
 </t>
  </si>
  <si>
    <t xml:space="preserve"> </t>
  </si>
  <si>
    <t>Cierre de hitos del proyecto fuera de plazo</t>
  </si>
  <si>
    <t xml:space="preserve">Debido Poca disponibilidad de los usuarios funcionales.
</t>
  </si>
  <si>
    <t xml:space="preserve">
Mitigar:
Enviar gantt a usuarios para que se programen
 </t>
  </si>
  <si>
    <t>JG</t>
  </si>
  <si>
    <t>se generó OC para tercer ingeniero</t>
  </si>
  <si>
    <t>Equipo de Trabajo</t>
  </si>
  <si>
    <t xml:space="preserve"> Menos profesionales para etapa de desarrollo
</t>
  </si>
  <si>
    <t>Equipo de desarrollo carece de personal</t>
  </si>
  <si>
    <t>Mitigar:
 Analista de interfaz del proyecto considera adelantar requerimientos funcionales y maqueta de interfaz,  antes del 29 de Mayo</t>
  </si>
  <si>
    <t xml:space="preserve"> Cambio en la arquitectura del Proyecto 
</t>
  </si>
  <si>
    <t>Debido al analisis funcional, se modifica framework de desarrollo para Agente IA</t>
  </si>
  <si>
    <t>Mitigar:
Evaluar comportamiento nuevo FW</t>
  </si>
  <si>
    <t xml:space="preserve"> Asume la Jefatura del Proyecto, el gerente de proyectos de TINET, quien participo como Jefe de Proyecto en el anteproyecto (podría ser una oportunidad).
</t>
  </si>
  <si>
    <t>No iniciar puesta en marcha en la fecha establecida</t>
  </si>
  <si>
    <t>(7 días de atraso en inicio de pruebas del servidor principal)</t>
  </si>
  <si>
    <t xml:space="preserve"> Mitigar:
Instalar laboratorio para aislar a funcionarios que realizarán las pruebas, permitiendo mayor focalización y eficiencia, con el fin de reducir periodo de pruebas.
</t>
  </si>
  <si>
    <t>No contar con pruebas funcionales de sistemas para pruebas Unitarias</t>
  </si>
  <si>
    <t>Retraso en maqueta funcional, debido a  bajo personal disponible para desarrollo de pruebas unitarias</t>
  </si>
  <si>
    <t xml:space="preserve"> Mitigar: Considerar pruebas periodicas funcionales, para mitigar retraso en pruebas funcionales de sistemas
</t>
  </si>
  <si>
    <t>Alcance</t>
  </si>
  <si>
    <t>Clientes y Stakeholders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</si>
</sst>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d/M/yyyy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sz val="14.0"/>
      <color rgb="FF000066"/>
      <name val="Calibri"/>
    </font>
    <font>
      <color theme="1"/>
      <name val="Calibri"/>
    </font>
    <font>
      <b/>
      <sz val="9.0"/>
      <color rgb="FFFFFFFF"/>
      <name val="Arial"/>
    </font>
    <font>
      <sz val="9.0"/>
      <color rgb="FF595959"/>
      <name val="Calibri"/>
    </font>
    <font>
      <sz val="9.0"/>
      <color rgb="FF595959"/>
      <name val="Arial"/>
    </font>
    <font>
      <sz val="10.0"/>
      <color rgb="FF595959"/>
      <name val="Arial"/>
    </font>
    <font>
      <b/>
      <sz val="9.0"/>
      <color theme="1"/>
      <name val="Calibri"/>
    </font>
    <font>
      <sz val="10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20.0"/>
      <color rgb="FF000000"/>
      <name val="Calibri"/>
    </font>
    <font>
      <sz val="10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9EFF6D"/>
        <bgColor rgb="FF9EFF6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E26B0A"/>
        <bgColor rgb="FFE26B0A"/>
      </patternFill>
    </fill>
    <fill>
      <patternFill patternType="solid">
        <fgColor rgb="FF99FF33"/>
        <bgColor rgb="FF99FF33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</fills>
  <borders count="5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rgb="FF000080"/>
      </left>
      <top style="thin">
        <color rgb="FF000080"/>
      </top>
      <bottom style="thin">
        <color rgb="FF000080"/>
      </bottom>
    </border>
    <border>
      <top style="thin">
        <color rgb="FF000080"/>
      </top>
      <bottom style="thin">
        <color rgb="FF00008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ont="1"/>
    <xf borderId="9" fillId="4" fontId="1" numFmtId="0" xfId="0" applyBorder="1" applyFill="1" applyFont="1"/>
    <xf borderId="10" fillId="4" fontId="1" numFmtId="0" xfId="0" applyBorder="1" applyFont="1"/>
    <xf borderId="11" fillId="5" fontId="5" numFmtId="0" xfId="0" applyAlignment="1" applyBorder="1" applyFill="1" applyFont="1">
      <alignment horizontal="center" textRotation="90" vertical="center"/>
    </xf>
    <xf borderId="12" fillId="3" fontId="6" numFmtId="0" xfId="0" applyAlignment="1" applyBorder="1" applyFont="1">
      <alignment horizontal="center" vertical="center"/>
    </xf>
    <xf borderId="13" fillId="5" fontId="4" numFmtId="0" xfId="0" applyBorder="1" applyFont="1"/>
    <xf borderId="14" fillId="5" fontId="4" numFmtId="0" xfId="0" applyBorder="1" applyFont="1"/>
    <xf borderId="3" fillId="2" fontId="1" numFmtId="0" xfId="0" applyAlignment="1" applyBorder="1" applyFont="1">
      <alignment horizontal="center"/>
    </xf>
    <xf borderId="15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5" fontId="6" numFmtId="0" xfId="0" applyAlignment="1" applyBorder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1" fillId="0" fontId="1" numFmtId="0" xfId="0" applyBorder="1" applyFont="1"/>
    <xf borderId="17" fillId="0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3" numFmtId="0" xfId="0" applyBorder="1" applyFont="1"/>
    <xf borderId="24" fillId="8" fontId="7" numFmtId="0" xfId="0" applyAlignment="1" applyBorder="1" applyFill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19" fillId="3" fontId="6" numFmtId="0" xfId="0" applyAlignment="1" applyBorder="1" applyFont="1">
      <alignment horizontal="center" vertical="center"/>
    </xf>
    <xf borderId="26" fillId="5" fontId="4" numFmtId="0" xfId="0" applyBorder="1" applyFont="1"/>
    <xf borderId="27" fillId="5" fontId="4" numFmtId="0" xfId="0" applyBorder="1" applyFont="1"/>
    <xf borderId="28" fillId="5" fontId="5" numFmtId="0" xfId="0" applyAlignment="1" applyBorder="1" applyFont="1">
      <alignment horizontal="center" vertical="center"/>
    </xf>
    <xf borderId="29" fillId="0" fontId="3" numFmtId="0" xfId="0" applyBorder="1" applyFont="1"/>
    <xf borderId="30" fillId="5" fontId="4" numFmtId="0" xfId="0" applyBorder="1" applyFont="1"/>
    <xf borderId="31" fillId="3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0" fontId="2" numFmtId="0" xfId="0" applyAlignment="1" applyBorder="1" applyFont="1">
      <alignment horizontal="left" vertical="top"/>
    </xf>
    <xf borderId="35" fillId="0" fontId="3" numFmtId="0" xfId="0" applyBorder="1" applyFont="1"/>
    <xf borderId="36" fillId="0" fontId="3" numFmtId="0" xfId="0" applyBorder="1" applyFont="1"/>
    <xf borderId="37" fillId="0" fontId="8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left" vertical="top"/>
    </xf>
    <xf borderId="38" fillId="0" fontId="4" numFmtId="0" xfId="0" applyAlignment="1" applyBorder="1" applyFont="1">
      <alignment horizontal="left" shrinkToFit="0" vertical="top" wrapText="1"/>
    </xf>
    <xf borderId="39" fillId="0" fontId="8" numFmtId="49" xfId="0" applyAlignment="1" applyBorder="1" applyFont="1" applyNumberForma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9" numFmtId="14" xfId="0" applyFont="1" applyNumberFormat="1"/>
    <xf borderId="0" fillId="0" fontId="10" numFmtId="164" xfId="0" applyAlignment="1" applyFont="1" applyNumberFormat="1">
      <alignment horizontal="center"/>
    </xf>
    <xf borderId="40" fillId="9" fontId="11" numFmtId="0" xfId="0" applyAlignment="1" applyBorder="1" applyFill="1" applyFont="1">
      <alignment horizontal="left" shrinkToFit="0" vertical="center" wrapText="1"/>
    </xf>
    <xf borderId="41" fillId="0" fontId="3" numFmtId="0" xfId="0" applyBorder="1" applyFont="1"/>
    <xf borderId="42" fillId="0" fontId="3" numFmtId="0" xfId="0" applyBorder="1" applyFont="1"/>
    <xf borderId="40" fillId="0" fontId="12" numFmtId="0" xfId="0" applyAlignment="1" applyBorder="1" applyFont="1">
      <alignment horizontal="left" shrinkToFit="0" vertical="center" wrapText="1"/>
    </xf>
    <xf borderId="40" fillId="10" fontId="13" numFmtId="0" xfId="0" applyAlignment="1" applyBorder="1" applyFill="1" applyFont="1">
      <alignment horizontal="left" shrinkToFit="0" vertical="center" wrapText="1"/>
    </xf>
    <xf borderId="40" fillId="10" fontId="14" numFmtId="0" xfId="0" applyAlignment="1" applyBorder="1" applyFont="1">
      <alignment horizontal="left" shrinkToFit="0" vertical="center" wrapText="1"/>
    </xf>
    <xf borderId="40" fillId="9" fontId="11" numFmtId="0" xfId="0" applyAlignment="1" applyBorder="1" applyFont="1">
      <alignment horizontal="center" shrinkToFit="0" vertical="center" wrapText="1"/>
    </xf>
    <xf borderId="43" fillId="11" fontId="15" numFmtId="0" xfId="0" applyAlignment="1" applyBorder="1" applyFill="1" applyFont="1">
      <alignment horizontal="center" shrinkToFit="0" vertical="center" wrapText="1"/>
    </xf>
    <xf borderId="43" fillId="0" fontId="12" numFmtId="14" xfId="0" applyAlignment="1" applyBorder="1" applyFont="1" applyNumberFormat="1">
      <alignment horizontal="center" shrinkToFit="0" vertical="center" wrapText="1"/>
    </xf>
    <xf borderId="43" fillId="0" fontId="12" numFmtId="0" xfId="0" applyAlignment="1" applyBorder="1" applyFont="1">
      <alignment horizontal="center" shrinkToFit="0" vertical="center" wrapText="1"/>
    </xf>
    <xf borderId="43" fillId="0" fontId="12" numFmtId="0" xfId="0" applyAlignment="1" applyBorder="1" applyFont="1">
      <alignment horizontal="left" shrinkToFit="0" vertical="center" wrapText="1"/>
    </xf>
    <xf borderId="13" fillId="10" fontId="12" numFmtId="14" xfId="0" applyAlignment="1" applyBorder="1" applyFont="1" applyNumberFormat="1">
      <alignment horizontal="center" shrinkToFit="0" vertical="center" wrapText="1"/>
    </xf>
    <xf borderId="13" fillId="10" fontId="12" numFmtId="0" xfId="0" applyAlignment="1" applyBorder="1" applyFont="1">
      <alignment horizontal="center" shrinkToFit="0" vertical="center" wrapText="1"/>
    </xf>
    <xf borderId="13" fillId="10" fontId="12" numFmtId="0" xfId="0" applyAlignment="1" applyBorder="1" applyFont="1">
      <alignment horizontal="left" shrinkToFit="0" vertical="center" wrapText="1"/>
    </xf>
    <xf borderId="22" fillId="12" fontId="16" numFmtId="0" xfId="0" applyAlignment="1" applyBorder="1" applyFill="1" applyFont="1">
      <alignment horizontal="center"/>
    </xf>
    <xf borderId="44" fillId="0" fontId="3" numFmtId="0" xfId="0" applyBorder="1" applyFont="1"/>
    <xf borderId="45" fillId="12" fontId="16" numFmtId="0" xfId="0" applyAlignment="1" applyBorder="1" applyFont="1">
      <alignment horizontal="left"/>
    </xf>
    <xf borderId="46" fillId="0" fontId="16" numFmtId="0" xfId="0" applyAlignment="1" applyBorder="1" applyFont="1">
      <alignment horizontal="center"/>
    </xf>
    <xf borderId="47" fillId="0" fontId="16" numFmtId="0" xfId="0" applyAlignment="1" applyBorder="1" applyFont="1">
      <alignment horizontal="center"/>
    </xf>
    <xf borderId="30" fillId="2" fontId="16" numFmtId="0" xfId="0" applyAlignment="1" applyBorder="1" applyFont="1">
      <alignment horizontal="left"/>
    </xf>
    <xf borderId="30" fillId="13" fontId="16" numFmtId="0" xfId="0" applyAlignment="1" applyBorder="1" applyFill="1" applyFont="1">
      <alignment horizontal="left"/>
    </xf>
    <xf borderId="30" fillId="7" fontId="16" numFmtId="0" xfId="0" applyAlignment="1" applyBorder="1" applyFont="1">
      <alignment horizontal="left"/>
    </xf>
    <xf borderId="30" fillId="14" fontId="16" numFmtId="0" xfId="0" applyAlignment="1" applyBorder="1" applyFill="1" applyFont="1">
      <alignment horizontal="left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wrapText="1"/>
    </xf>
    <xf borderId="0" fillId="2" fontId="18" numFmtId="0" xfId="0" applyAlignment="1" applyFont="1">
      <alignment horizontal="center" shrinkToFit="0" vertical="center" wrapText="1"/>
    </xf>
    <xf borderId="0" fillId="15" fontId="19" numFmtId="0" xfId="0" applyAlignment="1" applyFill="1" applyFont="1">
      <alignment horizontal="center" shrinkToFit="0" vertical="center" wrapText="1"/>
    </xf>
    <xf borderId="0" fillId="0" fontId="17" numFmtId="165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shrinkToFit="0" vertical="center" wrapText="1"/>
    </xf>
    <xf borderId="0" fillId="5" fontId="17" numFmtId="0" xfId="0" applyAlignment="1" applyFont="1">
      <alignment horizontal="center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5" fontId="17" numFmtId="0" xfId="0" applyAlignment="1" applyFont="1">
      <alignment horizontal="center" shrinkToFit="0" wrapText="1"/>
    </xf>
    <xf borderId="0" fillId="5" fontId="10" numFmtId="0" xfId="0" applyFont="1"/>
    <xf borderId="48" fillId="12" fontId="20" numFmtId="0" xfId="0" applyAlignment="1" applyBorder="1" applyFont="1">
      <alignment horizontal="center" vertical="center"/>
    </xf>
    <xf borderId="49" fillId="0" fontId="3" numFmtId="0" xfId="0" applyBorder="1" applyFont="1"/>
    <xf borderId="15" fillId="16" fontId="2" numFmtId="0" xfId="0" applyAlignment="1" applyBorder="1" applyFill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166" xfId="0" applyAlignment="1" applyBorder="1" applyFont="1" applyNumberFormat="1">
      <alignment horizontal="center" shrinkToFit="0" vertical="center" wrapText="1"/>
    </xf>
    <xf borderId="15" fillId="10" fontId="4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vertical="center"/>
    </xf>
    <xf borderId="15" fillId="0" fontId="4" numFmtId="14" xfId="0" applyAlignment="1" applyBorder="1" applyFont="1" applyNumberFormat="1">
      <alignment horizontal="center" shrinkToFit="0" vertical="center" wrapText="1"/>
    </xf>
    <xf borderId="15" fillId="10" fontId="6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10" fontId="4" numFmtId="0" xfId="0" applyAlignment="1" applyBorder="1" applyFont="1">
      <alignment horizontal="center" shrinkToFit="0" vertical="center" wrapText="1"/>
    </xf>
    <xf borderId="15" fillId="10" fontId="4" numFmtId="166" xfId="0" applyAlignment="1" applyBorder="1" applyFont="1" applyNumberForma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left" shrinkToFit="0" vertical="center" wrapText="1"/>
    </xf>
    <xf borderId="15" fillId="0" fontId="21" numFmtId="0" xfId="0" applyBorder="1" applyFont="1"/>
    <xf borderId="15" fillId="0" fontId="16" numFmtId="0" xfId="0" applyAlignment="1" applyBorder="1" applyFont="1">
      <alignment horizontal="center" vertical="center"/>
    </xf>
    <xf borderId="15" fillId="0" fontId="21" numFmtId="0" xfId="0" applyAlignment="1" applyBorder="1" applyFont="1">
      <alignment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Gesti&#243;n%20PMO%20-%20Proyecto%20CCC%20-%202012%2010%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Registro%20de%20Riesgos%20%20Proyecto%20AOL-Trazabilidad%20%20v1.2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gestion%20certificados\fase%20II\ejecucion\control%20de%20proyecto\Registro%20de%20Riesgos%20%20Proyecto%20gesti&#243;n%20%20certificados%20Sicex%20v1.3.xlsm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areas%20de%20extraccion%202\Registro%20de%20Riesgos%20%20Proyecto%20Siscomex%20Areas%20de%20extracci&#243;n%20v1.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3"/>
      <c r="D3" s="1"/>
      <c r="E3" s="1"/>
      <c r="F3" s="1"/>
      <c r="G3" s="4"/>
      <c r="H3" s="4"/>
      <c r="I3" s="4"/>
      <c r="J3" s="4"/>
      <c r="K3" s="4"/>
      <c r="L3" s="4"/>
      <c r="M3" s="1"/>
      <c r="N3" s="1"/>
      <c r="O3" s="1"/>
      <c r="P3" s="5" t="s">
        <v>2</v>
      </c>
      <c r="Q3" s="5" t="s">
        <v>3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4</v>
      </c>
      <c r="C4" s="7">
        <v>3.0</v>
      </c>
      <c r="D4" s="1"/>
      <c r="E4" s="1"/>
      <c r="F4" s="1"/>
      <c r="G4" s="8" t="s">
        <v>5</v>
      </c>
      <c r="H4" s="9"/>
      <c r="I4" s="9"/>
      <c r="J4" s="9"/>
      <c r="K4" s="9"/>
      <c r="L4" s="10"/>
      <c r="M4" s="1"/>
      <c r="N4" s="1"/>
      <c r="O4" s="11" t="s">
        <v>6</v>
      </c>
      <c r="P4" s="12" t="s">
        <v>7</v>
      </c>
      <c r="Q4" s="13" t="s">
        <v>8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9</v>
      </c>
      <c r="C5" s="7">
        <v>2.0</v>
      </c>
      <c r="D5" s="1"/>
      <c r="E5" s="1"/>
      <c r="F5" s="1"/>
      <c r="G5" s="14"/>
      <c r="H5" s="15" t="s">
        <v>7</v>
      </c>
      <c r="I5" s="16"/>
      <c r="J5" s="16"/>
      <c r="K5" s="16"/>
      <c r="L5" s="17"/>
      <c r="M5" s="1"/>
      <c r="N5" s="1"/>
      <c r="O5" s="18">
        <f t="array" ref="O5">INDEX(MatrizRiesgo,MATCH(P5,ProbabilidadRiesgo,0),MATCH(Q5,ImpactoRiesgo,0))</f>
        <v>1</v>
      </c>
      <c r="P5" s="19" t="s">
        <v>10</v>
      </c>
      <c r="Q5" s="20" t="s">
        <v>4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11</v>
      </c>
      <c r="C6" s="22">
        <v>1.0</v>
      </c>
      <c r="D6" s="1"/>
      <c r="E6" s="1"/>
      <c r="F6" s="1"/>
      <c r="G6" s="23"/>
      <c r="H6" s="24" t="s">
        <v>10</v>
      </c>
      <c r="I6" s="25">
        <v>4.0</v>
      </c>
      <c r="J6" s="26">
        <v>2.0</v>
      </c>
      <c r="K6" s="26">
        <v>1.0</v>
      </c>
      <c r="L6" s="17"/>
      <c r="M6" s="1"/>
      <c r="N6" s="1"/>
      <c r="O6" s="18">
        <f t="array" ref="O6">INDEX(MatrizRiesgo,MATCH(P6,ProbabilidadRiesgo,0),MATCH(Q6,ImpactoRiesgo,0))</f>
        <v>3</v>
      </c>
      <c r="P6" s="19" t="s">
        <v>12</v>
      </c>
      <c r="Q6" s="20" t="s">
        <v>4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23"/>
      <c r="H7" s="24" t="s">
        <v>12</v>
      </c>
      <c r="I7" s="27">
        <v>7.0</v>
      </c>
      <c r="J7" s="28">
        <v>5.0</v>
      </c>
      <c r="K7" s="26">
        <v>3.0</v>
      </c>
      <c r="L7" s="17"/>
      <c r="M7" s="1"/>
      <c r="N7" s="1"/>
      <c r="O7" s="18">
        <f t="array" ref="O7">INDEX(MatrizRiesgo,MATCH(P7,ProbabilidadRiesgo,0),MATCH(Q7,ImpactoRiesgo,0))</f>
        <v>9</v>
      </c>
      <c r="P7" s="29" t="s">
        <v>13</v>
      </c>
      <c r="Q7" s="30" t="s">
        <v>11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14</v>
      </c>
      <c r="C8" s="32"/>
      <c r="D8" s="1"/>
      <c r="E8" s="1"/>
      <c r="F8" s="1"/>
      <c r="G8" s="23"/>
      <c r="H8" s="24" t="s">
        <v>13</v>
      </c>
      <c r="I8" s="33">
        <v>9.0</v>
      </c>
      <c r="J8" s="34">
        <v>8.0</v>
      </c>
      <c r="K8" s="35">
        <v>6.0</v>
      </c>
      <c r="L8" s="17"/>
      <c r="M8" s="1"/>
      <c r="N8" s="1"/>
      <c r="O8" s="18">
        <f t="array" ref="O8">INDEX(MatrizRiesgo,MATCH(P8,ProbabilidadRiesgo,0),MATCH(Q8,ImpactoRiesgo,0))</f>
        <v>7</v>
      </c>
      <c r="P8" s="29" t="s">
        <v>12</v>
      </c>
      <c r="Q8" s="30" t="s">
        <v>11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6" t="s">
        <v>15</v>
      </c>
      <c r="C9" s="37"/>
      <c r="D9" s="1"/>
      <c r="E9" s="1"/>
      <c r="F9" s="1"/>
      <c r="G9" s="23"/>
      <c r="H9" s="16"/>
      <c r="I9" s="24" t="s">
        <v>11</v>
      </c>
      <c r="J9" s="24" t="s">
        <v>9</v>
      </c>
      <c r="K9" s="24" t="s">
        <v>4</v>
      </c>
      <c r="L9" s="38" t="s">
        <v>8</v>
      </c>
      <c r="M9" s="1"/>
      <c r="N9" s="1"/>
      <c r="O9" s="18">
        <f t="array" ref="O9">INDEX(MatrizRiesgo,MATCH(P9,ProbabilidadRiesgo,0),MATCH(Q9,ImpactoRiesgo,0))</f>
        <v>4</v>
      </c>
      <c r="P9" s="29" t="s">
        <v>10</v>
      </c>
      <c r="Q9" s="30" t="s">
        <v>11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16</v>
      </c>
      <c r="C10" s="7"/>
      <c r="D10" s="1"/>
      <c r="E10" s="1"/>
      <c r="F10" s="1"/>
      <c r="G10" s="39"/>
      <c r="H10" s="40"/>
      <c r="I10" s="41"/>
      <c r="J10" s="42"/>
      <c r="K10" s="42"/>
      <c r="L10" s="43"/>
      <c r="M10" s="1"/>
      <c r="N10" s="1"/>
      <c r="O10" s="18">
        <f t="array" ref="O10">INDEX(MatrizRiesgo,MATCH(P10,ProbabilidadRiesgo,0),MATCH(Q10,ImpactoRiesgo,0))</f>
        <v>7</v>
      </c>
      <c r="P10" s="29" t="s">
        <v>12</v>
      </c>
      <c r="Q10" s="30" t="s">
        <v>11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17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8">
        <f t="array" ref="O11">INDEX(MatrizRiesgo,MATCH(P11,ProbabilidadRiesgo,0),MATCH(Q11,ImpactoRiesgo,0))</f>
        <v>9</v>
      </c>
      <c r="P11" s="29" t="s">
        <v>13</v>
      </c>
      <c r="Q11" s="30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18</v>
      </c>
      <c r="C12" s="22"/>
      <c r="D12" s="1"/>
      <c r="E12" s="1"/>
      <c r="F12" s="1"/>
      <c r="G12" s="44" t="s">
        <v>19</v>
      </c>
      <c r="H12" s="45"/>
      <c r="I12" s="45"/>
      <c r="J12" s="45"/>
      <c r="K12" s="45"/>
      <c r="L12" s="46"/>
      <c r="M12" s="1"/>
      <c r="N12" s="1"/>
      <c r="O12" s="18">
        <f t="array" ref="O12">INDEX(MatrizRiesgo,MATCH(P12,ProbabilidadRiesgo,0),MATCH(Q12,ImpactoRiesgo,0))</f>
        <v>4</v>
      </c>
      <c r="P12" s="29" t="s">
        <v>10</v>
      </c>
      <c r="Q12" s="30" t="s">
        <v>11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7" t="s">
        <v>20</v>
      </c>
      <c r="H13" s="48"/>
      <c r="I13" s="48"/>
      <c r="J13" s="48"/>
      <c r="K13" s="48"/>
      <c r="L13" s="4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50" t="s">
        <v>21</v>
      </c>
      <c r="H14" s="51" t="s">
        <v>22</v>
      </c>
      <c r="I14" s="48"/>
      <c r="J14" s="48"/>
      <c r="K14" s="48"/>
      <c r="L14" s="4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50" t="s">
        <v>23</v>
      </c>
      <c r="H15" s="52" t="s">
        <v>24</v>
      </c>
      <c r="I15" s="48"/>
      <c r="J15" s="48"/>
      <c r="K15" s="48"/>
      <c r="L15" s="4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50"/>
      <c r="H16" s="52" t="s">
        <v>25</v>
      </c>
      <c r="I16" s="48"/>
      <c r="J16" s="48"/>
      <c r="K16" s="48"/>
      <c r="L16" s="4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31" t="s">
        <v>26</v>
      </c>
      <c r="C17" s="32"/>
      <c r="D17" s="1"/>
      <c r="E17" s="1"/>
      <c r="F17" s="1"/>
      <c r="G17" s="50"/>
      <c r="H17" s="52" t="s">
        <v>27</v>
      </c>
      <c r="I17" s="48"/>
      <c r="J17" s="48"/>
      <c r="K17" s="48"/>
      <c r="L17" s="4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6" t="s">
        <v>28</v>
      </c>
      <c r="C18" s="37"/>
      <c r="D18" s="1"/>
      <c r="E18" s="1"/>
      <c r="F18" s="1"/>
      <c r="G18" s="53">
        <v>9.0</v>
      </c>
      <c r="H18" s="52" t="s">
        <v>29</v>
      </c>
      <c r="I18" s="48"/>
      <c r="J18" s="48"/>
      <c r="K18" s="48"/>
      <c r="L18" s="4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16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17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18</v>
      </c>
      <c r="C21" s="2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P5:P12">
      <formula1>ProbabilidadRiesgo</formula1>
    </dataValidation>
    <dataValidation type="list" allowBlank="1" showErrorMessage="1" sqref="Q5:Q12">
      <formula1>ImpactoRiesgo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57"/>
    <col customWidth="1" min="3" max="3" width="28.29"/>
    <col customWidth="1" min="4" max="4" width="54.71"/>
    <col customWidth="1" min="5" max="26" width="10.71"/>
  </cols>
  <sheetData>
    <row r="1">
      <c r="A1" s="54" t="s">
        <v>30</v>
      </c>
      <c r="B1" s="55" t="s">
        <v>31</v>
      </c>
    </row>
    <row r="2">
      <c r="A2" s="54" t="s">
        <v>32</v>
      </c>
      <c r="B2" s="55" t="s">
        <v>33</v>
      </c>
    </row>
    <row r="3">
      <c r="A3" s="56" t="s">
        <v>34</v>
      </c>
      <c r="B3" s="57">
        <v>46093.0</v>
      </c>
    </row>
    <row r="5">
      <c r="A5" s="58" t="s">
        <v>35</v>
      </c>
      <c r="B5" s="59"/>
      <c r="C5" s="59"/>
      <c r="D5" s="60"/>
    </row>
    <row r="6">
      <c r="A6" s="61" t="s">
        <v>36</v>
      </c>
      <c r="B6" s="59"/>
      <c r="C6" s="59"/>
      <c r="D6" s="60"/>
    </row>
    <row r="7">
      <c r="A7" s="58" t="s">
        <v>37</v>
      </c>
      <c r="B7" s="59"/>
      <c r="C7" s="59"/>
      <c r="D7" s="60"/>
    </row>
    <row r="8">
      <c r="A8" s="62" t="s">
        <v>38</v>
      </c>
      <c r="B8" s="59"/>
      <c r="C8" s="59"/>
      <c r="D8" s="60"/>
    </row>
    <row r="9">
      <c r="A9" s="63" t="s">
        <v>39</v>
      </c>
      <c r="B9" s="59"/>
      <c r="C9" s="59"/>
      <c r="D9" s="60"/>
    </row>
    <row r="10">
      <c r="A10" s="64" t="s">
        <v>40</v>
      </c>
      <c r="B10" s="59"/>
      <c r="C10" s="59"/>
      <c r="D10" s="60"/>
    </row>
    <row r="11">
      <c r="A11" s="65" t="s">
        <v>34</v>
      </c>
      <c r="B11" s="65" t="s">
        <v>41</v>
      </c>
      <c r="C11" s="65" t="s">
        <v>42</v>
      </c>
      <c r="D11" s="65" t="s">
        <v>43</v>
      </c>
    </row>
    <row r="12">
      <c r="A12" s="66">
        <v>42074.0</v>
      </c>
      <c r="B12" s="67" t="s">
        <v>44</v>
      </c>
      <c r="C12" s="67" t="s">
        <v>45</v>
      </c>
      <c r="D12" s="68" t="s">
        <v>46</v>
      </c>
    </row>
    <row r="13">
      <c r="A13" s="69"/>
      <c r="B13" s="70"/>
      <c r="C13" s="70"/>
      <c r="D13" s="71"/>
    </row>
    <row r="14">
      <c r="A14" s="70"/>
      <c r="B14" s="70"/>
      <c r="C14" s="70"/>
      <c r="D14" s="71"/>
    </row>
    <row r="15">
      <c r="A15" s="64" t="s">
        <v>47</v>
      </c>
      <c r="B15" s="59"/>
      <c r="C15" s="59"/>
      <c r="D15" s="60"/>
    </row>
    <row r="16">
      <c r="A16" s="65" t="s">
        <v>34</v>
      </c>
      <c r="B16" s="65" t="s">
        <v>41</v>
      </c>
      <c r="C16" s="65" t="s">
        <v>42</v>
      </c>
      <c r="D16" s="65" t="s">
        <v>43</v>
      </c>
    </row>
    <row r="17">
      <c r="A17" s="66">
        <v>46109.0</v>
      </c>
      <c r="B17" s="67" t="s">
        <v>48</v>
      </c>
      <c r="C17" s="67" t="s">
        <v>49</v>
      </c>
      <c r="D17" s="68" t="s">
        <v>50</v>
      </c>
    </row>
    <row r="18">
      <c r="A18" s="66">
        <v>46109.0</v>
      </c>
      <c r="B18" s="67" t="s">
        <v>48</v>
      </c>
      <c r="C18" s="67" t="s">
        <v>51</v>
      </c>
      <c r="D18" s="68" t="s">
        <v>52</v>
      </c>
    </row>
    <row r="19">
      <c r="A19" s="66">
        <v>46109.0</v>
      </c>
      <c r="B19" s="67" t="s">
        <v>48</v>
      </c>
      <c r="C19" s="67" t="s">
        <v>53</v>
      </c>
      <c r="D19" s="68" t="s">
        <v>54</v>
      </c>
    </row>
    <row r="20">
      <c r="A20" s="66">
        <v>46109.0</v>
      </c>
      <c r="B20" s="67" t="s">
        <v>48</v>
      </c>
      <c r="C20" s="67" t="s">
        <v>55</v>
      </c>
      <c r="D20" s="68" t="s">
        <v>56</v>
      </c>
    </row>
    <row r="21" ht="15.75" customHeight="1">
      <c r="A21" s="66">
        <v>46109.0</v>
      </c>
      <c r="B21" s="67" t="s">
        <v>48</v>
      </c>
      <c r="C21" s="67" t="s">
        <v>57</v>
      </c>
      <c r="D21" s="68" t="s">
        <v>58</v>
      </c>
    </row>
    <row r="22" ht="15.75" customHeight="1">
      <c r="A22" s="66"/>
      <c r="B22" s="67"/>
      <c r="C22" s="67"/>
      <c r="D22" s="68"/>
    </row>
    <row r="23" ht="15.75" customHeight="1">
      <c r="A23" s="66"/>
      <c r="B23" s="67"/>
      <c r="C23" s="67"/>
      <c r="D23" s="6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D5"/>
    <mergeCell ref="A6:D6"/>
    <mergeCell ref="A7:D7"/>
    <mergeCell ref="A8:D8"/>
    <mergeCell ref="A9:D9"/>
    <mergeCell ref="A10:D10"/>
    <mergeCell ref="A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4">
      <c r="D4" s="72" t="s">
        <v>8</v>
      </c>
      <c r="E4" s="73"/>
      <c r="F4" s="73"/>
      <c r="G4" s="73"/>
      <c r="H4" s="32"/>
    </row>
    <row r="5">
      <c r="C5" s="74" t="s">
        <v>7</v>
      </c>
      <c r="D5" s="75" t="s">
        <v>59</v>
      </c>
      <c r="E5" s="75" t="s">
        <v>11</v>
      </c>
      <c r="F5" s="75" t="s">
        <v>9</v>
      </c>
      <c r="G5" s="75" t="s">
        <v>4</v>
      </c>
      <c r="H5" s="75" t="s">
        <v>60</v>
      </c>
    </row>
    <row r="6">
      <c r="C6" s="76" t="s">
        <v>60</v>
      </c>
      <c r="D6" s="77" t="s">
        <v>9</v>
      </c>
      <c r="E6" s="78" t="s">
        <v>4</v>
      </c>
      <c r="F6" s="78" t="s">
        <v>4</v>
      </c>
      <c r="G6" s="79" t="s">
        <v>60</v>
      </c>
      <c r="H6" s="79" t="s">
        <v>60</v>
      </c>
    </row>
    <row r="7">
      <c r="C7" s="76" t="s">
        <v>4</v>
      </c>
      <c r="D7" s="77" t="s">
        <v>9</v>
      </c>
      <c r="E7" s="77" t="s">
        <v>9</v>
      </c>
      <c r="F7" s="78" t="s">
        <v>4</v>
      </c>
      <c r="G7" s="79" t="s">
        <v>60</v>
      </c>
      <c r="H7" s="79" t="s">
        <v>60</v>
      </c>
    </row>
    <row r="8">
      <c r="C8" s="76" t="s">
        <v>9</v>
      </c>
      <c r="D8" s="80" t="s">
        <v>11</v>
      </c>
      <c r="E8" s="77" t="s">
        <v>9</v>
      </c>
      <c r="F8" s="78" t="s">
        <v>4</v>
      </c>
      <c r="G8" s="78" t="s">
        <v>4</v>
      </c>
      <c r="H8" s="79" t="s">
        <v>60</v>
      </c>
    </row>
    <row r="9">
      <c r="C9" s="76" t="s">
        <v>11</v>
      </c>
      <c r="D9" s="80" t="s">
        <v>11</v>
      </c>
      <c r="E9" s="80" t="s">
        <v>11</v>
      </c>
      <c r="F9" s="77" t="s">
        <v>9</v>
      </c>
      <c r="G9" s="78" t="s">
        <v>4</v>
      </c>
      <c r="H9" s="78" t="s">
        <v>4</v>
      </c>
    </row>
    <row r="10">
      <c r="C10" s="76" t="s">
        <v>59</v>
      </c>
      <c r="D10" s="80" t="s">
        <v>11</v>
      </c>
      <c r="E10" s="80" t="s">
        <v>11</v>
      </c>
      <c r="F10" s="77" t="s">
        <v>9</v>
      </c>
      <c r="G10" s="77" t="s">
        <v>9</v>
      </c>
      <c r="H10" s="78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14.71"/>
    <col customWidth="1" min="3" max="3" width="12.71"/>
    <col customWidth="1" min="4" max="6" width="23.14"/>
    <col customWidth="1" min="7" max="7" width="13.86"/>
    <col customWidth="1" min="8" max="8" width="14.0"/>
    <col customWidth="1" min="9" max="9" width="14.71"/>
    <col customWidth="1" min="10" max="10" width="9.14"/>
    <col customWidth="1" min="11" max="11" width="15.57"/>
    <col customWidth="1" min="12" max="12" width="23.29"/>
    <col customWidth="1" min="13" max="13" width="15.0"/>
    <col customWidth="1" min="14" max="14" width="16.71"/>
    <col customWidth="1" min="15" max="15" width="13.57"/>
    <col customWidth="1" min="16" max="21" width="23.14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82"/>
      <c r="S1" s="82"/>
      <c r="T1" s="82"/>
      <c r="U1" s="82"/>
    </row>
    <row r="2">
      <c r="A2" s="83" t="s">
        <v>61</v>
      </c>
      <c r="B2" s="83" t="s">
        <v>62</v>
      </c>
      <c r="C2" s="83" t="s">
        <v>63</v>
      </c>
      <c r="D2" s="83" t="s">
        <v>64</v>
      </c>
      <c r="E2" s="83" t="s">
        <v>65</v>
      </c>
      <c r="F2" s="83" t="s">
        <v>66</v>
      </c>
      <c r="G2" s="83" t="s">
        <v>67</v>
      </c>
      <c r="H2" s="83" t="s">
        <v>8</v>
      </c>
      <c r="I2" s="83" t="s">
        <v>68</v>
      </c>
      <c r="J2" s="83" t="s">
        <v>69</v>
      </c>
      <c r="K2" s="83" t="s">
        <v>6</v>
      </c>
      <c r="L2" s="83" t="s">
        <v>70</v>
      </c>
      <c r="M2" s="83" t="s">
        <v>71</v>
      </c>
      <c r="N2" s="83" t="s">
        <v>72</v>
      </c>
      <c r="O2" s="83" t="s">
        <v>14</v>
      </c>
      <c r="P2" s="83" t="s">
        <v>73</v>
      </c>
      <c r="Q2" s="82"/>
      <c r="R2" s="82"/>
      <c r="S2" s="82"/>
      <c r="T2" s="82"/>
      <c r="U2" s="82"/>
    </row>
    <row r="3">
      <c r="A3" s="84">
        <v>1.0</v>
      </c>
      <c r="B3" s="85">
        <v>46109.0</v>
      </c>
      <c r="C3" s="81" t="s">
        <v>74</v>
      </c>
      <c r="D3" s="81" t="s">
        <v>75</v>
      </c>
      <c r="E3" s="81" t="s">
        <v>76</v>
      </c>
      <c r="F3" s="81" t="s">
        <v>77</v>
      </c>
      <c r="G3" s="81" t="s">
        <v>78</v>
      </c>
      <c r="H3" s="86" t="s">
        <v>60</v>
      </c>
      <c r="I3" s="81">
        <v>2.0</v>
      </c>
      <c r="J3" s="81">
        <v>5.0</v>
      </c>
      <c r="K3" s="81" t="s">
        <v>60</v>
      </c>
      <c r="L3" s="81" t="s">
        <v>79</v>
      </c>
      <c r="M3" s="81" t="s">
        <v>80</v>
      </c>
      <c r="N3" s="85">
        <v>46127.0</v>
      </c>
      <c r="O3" s="81" t="s">
        <v>28</v>
      </c>
      <c r="P3" s="81" t="s">
        <v>81</v>
      </c>
      <c r="Q3" s="82"/>
      <c r="R3" s="82"/>
      <c r="S3" s="82"/>
      <c r="T3" s="82"/>
      <c r="U3" s="82"/>
    </row>
    <row r="4">
      <c r="A4" s="84">
        <v>2.0</v>
      </c>
      <c r="B4" s="85">
        <v>46109.0</v>
      </c>
      <c r="C4" s="81" t="s">
        <v>74</v>
      </c>
      <c r="D4" s="81" t="s">
        <v>82</v>
      </c>
      <c r="E4" s="81" t="s">
        <v>83</v>
      </c>
      <c r="F4" s="81" t="s">
        <v>84</v>
      </c>
      <c r="G4" s="81" t="s">
        <v>4</v>
      </c>
      <c r="H4" s="86" t="s">
        <v>85</v>
      </c>
      <c r="I4" s="81">
        <v>3.0</v>
      </c>
      <c r="J4" s="81">
        <v>5.0</v>
      </c>
      <c r="K4" s="81" t="s">
        <v>60</v>
      </c>
      <c r="L4" s="81" t="s">
        <v>86</v>
      </c>
      <c r="M4" s="81" t="s">
        <v>87</v>
      </c>
      <c r="N4" s="85">
        <v>46124.0</v>
      </c>
      <c r="O4" s="81" t="s">
        <v>28</v>
      </c>
      <c r="P4" s="81" t="s">
        <v>88</v>
      </c>
      <c r="Q4" s="82"/>
      <c r="R4" s="82"/>
      <c r="S4" s="82"/>
      <c r="T4" s="82"/>
      <c r="U4" s="82"/>
    </row>
    <row r="5">
      <c r="A5" s="84">
        <v>3.0</v>
      </c>
      <c r="B5" s="85">
        <v>46109.0</v>
      </c>
      <c r="C5" s="81" t="s">
        <v>89</v>
      </c>
      <c r="D5" s="81" t="s">
        <v>90</v>
      </c>
      <c r="E5" s="81" t="s">
        <v>91</v>
      </c>
      <c r="F5" s="81" t="s">
        <v>92</v>
      </c>
      <c r="G5" s="81" t="s">
        <v>4</v>
      </c>
      <c r="H5" s="81" t="s">
        <v>4</v>
      </c>
      <c r="I5" s="81">
        <v>2.0</v>
      </c>
      <c r="J5" s="81">
        <v>4.0</v>
      </c>
      <c r="K5" s="81" t="s">
        <v>4</v>
      </c>
      <c r="L5" s="81" t="s">
        <v>93</v>
      </c>
      <c r="M5" s="81" t="s">
        <v>94</v>
      </c>
      <c r="N5" s="85">
        <v>46122.0</v>
      </c>
      <c r="O5" s="81" t="s">
        <v>28</v>
      </c>
      <c r="P5" s="81" t="s">
        <v>95</v>
      </c>
      <c r="Q5" s="82"/>
      <c r="R5" s="82"/>
      <c r="S5" s="82"/>
      <c r="T5" s="82"/>
      <c r="U5" s="82"/>
    </row>
    <row r="6">
      <c r="A6" s="84">
        <v>4.0</v>
      </c>
      <c r="B6" s="85">
        <v>46109.0</v>
      </c>
      <c r="C6" s="81" t="s">
        <v>96</v>
      </c>
      <c r="D6" s="81" t="s">
        <v>97</v>
      </c>
      <c r="E6" s="81" t="s">
        <v>98</v>
      </c>
      <c r="F6" s="81" t="s">
        <v>99</v>
      </c>
      <c r="G6" s="81" t="s">
        <v>4</v>
      </c>
      <c r="H6" s="81" t="s">
        <v>4</v>
      </c>
      <c r="I6" s="81">
        <v>2.0</v>
      </c>
      <c r="J6" s="81">
        <v>4.0</v>
      </c>
      <c r="K6" s="81" t="s">
        <v>4</v>
      </c>
      <c r="L6" s="81" t="s">
        <v>100</v>
      </c>
      <c r="M6" s="81" t="s">
        <v>94</v>
      </c>
      <c r="N6" s="85">
        <v>46120.0</v>
      </c>
      <c r="O6" s="81" t="s">
        <v>28</v>
      </c>
      <c r="P6" s="81" t="s">
        <v>101</v>
      </c>
      <c r="Q6" s="82"/>
      <c r="R6" s="82"/>
      <c r="S6" s="82"/>
      <c r="T6" s="82"/>
      <c r="U6" s="82"/>
    </row>
    <row r="7">
      <c r="A7" s="84">
        <v>5.0</v>
      </c>
      <c r="B7" s="85">
        <v>46109.0</v>
      </c>
      <c r="C7" s="81" t="s">
        <v>74</v>
      </c>
      <c r="D7" s="81" t="s">
        <v>102</v>
      </c>
      <c r="E7" s="81" t="s">
        <v>103</v>
      </c>
      <c r="F7" s="81" t="s">
        <v>104</v>
      </c>
      <c r="G7" s="81" t="s">
        <v>4</v>
      </c>
      <c r="H7" s="86" t="s">
        <v>60</v>
      </c>
      <c r="I7" s="81">
        <v>2.0</v>
      </c>
      <c r="J7" s="81">
        <v>5.0</v>
      </c>
      <c r="K7" s="81" t="s">
        <v>60</v>
      </c>
      <c r="L7" s="81" t="s">
        <v>105</v>
      </c>
      <c r="M7" s="81" t="s">
        <v>94</v>
      </c>
      <c r="N7" s="85">
        <v>46132.0</v>
      </c>
      <c r="O7" s="81" t="s">
        <v>28</v>
      </c>
      <c r="P7" s="81" t="s">
        <v>106</v>
      </c>
      <c r="Q7" s="82"/>
      <c r="R7" s="82"/>
      <c r="S7" s="82"/>
      <c r="T7" s="82"/>
      <c r="U7" s="82"/>
    </row>
    <row r="8">
      <c r="A8" s="84">
        <v>6.0</v>
      </c>
      <c r="B8" s="85">
        <v>46109.0</v>
      </c>
      <c r="C8" s="81" t="s">
        <v>107</v>
      </c>
      <c r="D8" s="81" t="s">
        <v>108</v>
      </c>
      <c r="E8" s="81" t="s">
        <v>109</v>
      </c>
      <c r="F8" s="81" t="s">
        <v>110</v>
      </c>
      <c r="G8" s="81" t="s">
        <v>9</v>
      </c>
      <c r="H8" s="86" t="s">
        <v>60</v>
      </c>
      <c r="I8" s="81">
        <v>3.0</v>
      </c>
      <c r="J8" s="81">
        <v>5.0</v>
      </c>
      <c r="K8" s="81" t="s">
        <v>60</v>
      </c>
      <c r="L8" s="81" t="s">
        <v>111</v>
      </c>
      <c r="M8" s="81" t="s">
        <v>80</v>
      </c>
      <c r="N8" s="85">
        <v>46157.0</v>
      </c>
      <c r="O8" s="81" t="s">
        <v>28</v>
      </c>
      <c r="P8" s="81" t="s">
        <v>112</v>
      </c>
      <c r="Q8" s="82"/>
      <c r="R8" s="82"/>
      <c r="S8" s="82"/>
      <c r="T8" s="82"/>
      <c r="U8" s="82"/>
    </row>
    <row r="9">
      <c r="A9" s="84">
        <v>7.0</v>
      </c>
      <c r="B9" s="85">
        <v>46109.0</v>
      </c>
      <c r="C9" s="81" t="s">
        <v>113</v>
      </c>
      <c r="D9" s="81" t="s">
        <v>114</v>
      </c>
      <c r="E9" s="81" t="s">
        <v>115</v>
      </c>
      <c r="F9" s="81" t="s">
        <v>116</v>
      </c>
      <c r="G9" s="81" t="s">
        <v>9</v>
      </c>
      <c r="H9" s="81" t="s">
        <v>4</v>
      </c>
      <c r="I9" s="81">
        <v>3.0</v>
      </c>
      <c r="J9" s="81">
        <v>4.0</v>
      </c>
      <c r="K9" s="81" t="s">
        <v>4</v>
      </c>
      <c r="L9" s="81" t="s">
        <v>117</v>
      </c>
      <c r="M9" s="81" t="s">
        <v>118</v>
      </c>
      <c r="N9" s="85">
        <v>46152.0</v>
      </c>
      <c r="O9" s="81" t="s">
        <v>28</v>
      </c>
      <c r="P9" s="81" t="s">
        <v>119</v>
      </c>
      <c r="Q9" s="82"/>
      <c r="R9" s="82"/>
      <c r="S9" s="82"/>
      <c r="T9" s="82"/>
      <c r="U9" s="82"/>
    </row>
    <row r="10">
      <c r="A10" s="84">
        <v>8.0</v>
      </c>
      <c r="B10" s="85">
        <v>46109.0</v>
      </c>
      <c r="C10" s="81" t="s">
        <v>120</v>
      </c>
      <c r="D10" s="81" t="s">
        <v>121</v>
      </c>
      <c r="E10" s="87" t="s">
        <v>122</v>
      </c>
      <c r="F10" s="81" t="s">
        <v>123</v>
      </c>
      <c r="G10" s="81" t="s">
        <v>9</v>
      </c>
      <c r="H10" s="81" t="s">
        <v>4</v>
      </c>
      <c r="I10" s="81">
        <v>3.0</v>
      </c>
      <c r="J10" s="81">
        <v>4.0</v>
      </c>
      <c r="K10" s="81" t="s">
        <v>4</v>
      </c>
      <c r="L10" s="81" t="s">
        <v>124</v>
      </c>
      <c r="M10" s="81" t="s">
        <v>118</v>
      </c>
      <c r="N10" s="85">
        <v>46162.0</v>
      </c>
      <c r="O10" s="81" t="s">
        <v>28</v>
      </c>
      <c r="P10" s="81" t="s">
        <v>125</v>
      </c>
      <c r="Q10" s="82"/>
      <c r="R10" s="82"/>
      <c r="S10" s="82"/>
      <c r="T10" s="82"/>
      <c r="U10" s="82"/>
    </row>
    <row r="11">
      <c r="A11" s="84">
        <v>9.0</v>
      </c>
      <c r="B11" s="85">
        <v>46109.0</v>
      </c>
      <c r="C11" s="81" t="s">
        <v>74</v>
      </c>
      <c r="D11" s="81" t="s">
        <v>126</v>
      </c>
      <c r="E11" s="81" t="s">
        <v>127</v>
      </c>
      <c r="F11" s="81" t="s">
        <v>128</v>
      </c>
      <c r="G11" s="81" t="s">
        <v>9</v>
      </c>
      <c r="H11" s="81" t="s">
        <v>4</v>
      </c>
      <c r="I11" s="81">
        <v>3.0</v>
      </c>
      <c r="J11" s="81">
        <v>4.0</v>
      </c>
      <c r="K11" s="81" t="s">
        <v>4</v>
      </c>
      <c r="L11" s="81" t="s">
        <v>129</v>
      </c>
      <c r="M11" s="81" t="s">
        <v>94</v>
      </c>
      <c r="N11" s="85">
        <v>46160.0</v>
      </c>
      <c r="O11" s="81" t="s">
        <v>28</v>
      </c>
      <c r="P11" s="81" t="s">
        <v>130</v>
      </c>
      <c r="Q11" s="82"/>
      <c r="R11" s="82"/>
      <c r="S11" s="82"/>
      <c r="T11" s="82"/>
      <c r="U11" s="82"/>
    </row>
    <row r="12">
      <c r="A12" s="84">
        <v>10.0</v>
      </c>
      <c r="B12" s="85">
        <v>46109.0</v>
      </c>
      <c r="C12" s="81" t="s">
        <v>96</v>
      </c>
      <c r="D12" s="81" t="s">
        <v>131</v>
      </c>
      <c r="E12" s="81" t="s">
        <v>132</v>
      </c>
      <c r="F12" s="81" t="s">
        <v>133</v>
      </c>
      <c r="G12" s="81" t="s">
        <v>4</v>
      </c>
      <c r="H12" s="86" t="s">
        <v>60</v>
      </c>
      <c r="I12" s="81">
        <v>2.0</v>
      </c>
      <c r="J12" s="81">
        <v>5.0</v>
      </c>
      <c r="K12" s="81" t="s">
        <v>60</v>
      </c>
      <c r="L12" s="81" t="s">
        <v>134</v>
      </c>
      <c r="M12" s="81" t="s">
        <v>94</v>
      </c>
      <c r="N12" s="85">
        <v>46142.0</v>
      </c>
      <c r="O12" s="81" t="s">
        <v>28</v>
      </c>
      <c r="P12" s="81" t="s">
        <v>135</v>
      </c>
      <c r="Q12" s="82"/>
      <c r="R12" s="82"/>
      <c r="S12" s="82"/>
      <c r="T12" s="82"/>
      <c r="U12" s="82"/>
    </row>
    <row r="13">
      <c r="A13" s="84">
        <v>11.0</v>
      </c>
      <c r="B13" s="85">
        <v>46109.0</v>
      </c>
      <c r="C13" s="81" t="s">
        <v>74</v>
      </c>
      <c r="D13" s="81" t="s">
        <v>136</v>
      </c>
      <c r="E13" s="81" t="s">
        <v>137</v>
      </c>
      <c r="F13" s="81" t="s">
        <v>138</v>
      </c>
      <c r="G13" s="81" t="s">
        <v>9</v>
      </c>
      <c r="H13" s="86" t="s">
        <v>60</v>
      </c>
      <c r="I13" s="81">
        <v>3.0</v>
      </c>
      <c r="J13" s="81">
        <v>5.0</v>
      </c>
      <c r="K13" s="81" t="s">
        <v>60</v>
      </c>
      <c r="L13" s="81" t="s">
        <v>139</v>
      </c>
      <c r="M13" s="81" t="s">
        <v>80</v>
      </c>
      <c r="N13" s="85">
        <v>46154.0</v>
      </c>
      <c r="O13" s="81" t="s">
        <v>28</v>
      </c>
      <c r="P13" s="81" t="s">
        <v>140</v>
      </c>
      <c r="Q13" s="82"/>
      <c r="R13" s="82"/>
      <c r="S13" s="82"/>
      <c r="T13" s="82"/>
      <c r="U13" s="82"/>
    </row>
    <row r="14">
      <c r="A14" s="84">
        <v>12.0</v>
      </c>
      <c r="B14" s="85">
        <v>46109.0</v>
      </c>
      <c r="C14" s="81" t="s">
        <v>120</v>
      </c>
      <c r="D14" s="81" t="s">
        <v>141</v>
      </c>
      <c r="E14" s="81" t="s">
        <v>142</v>
      </c>
      <c r="F14" s="81" t="s">
        <v>143</v>
      </c>
      <c r="G14" s="81" t="s">
        <v>9</v>
      </c>
      <c r="H14" s="86" t="s">
        <v>60</v>
      </c>
      <c r="I14" s="81">
        <v>3.0</v>
      </c>
      <c r="J14" s="81">
        <v>5.0</v>
      </c>
      <c r="K14" s="81" t="s">
        <v>60</v>
      </c>
      <c r="L14" s="81" t="s">
        <v>144</v>
      </c>
      <c r="M14" s="81" t="s">
        <v>145</v>
      </c>
      <c r="N14" s="85">
        <v>46127.0</v>
      </c>
      <c r="O14" s="81" t="s">
        <v>28</v>
      </c>
      <c r="P14" s="81" t="s">
        <v>146</v>
      </c>
      <c r="Q14" s="82"/>
      <c r="R14" s="82"/>
      <c r="S14" s="82"/>
      <c r="T14" s="82"/>
      <c r="U14" s="82"/>
    </row>
    <row r="15">
      <c r="A15" s="84">
        <v>13.0</v>
      </c>
      <c r="B15" s="85">
        <v>46109.0</v>
      </c>
      <c r="C15" s="81" t="s">
        <v>107</v>
      </c>
      <c r="D15" s="81" t="s">
        <v>147</v>
      </c>
      <c r="E15" s="81" t="s">
        <v>148</v>
      </c>
      <c r="F15" s="81" t="s">
        <v>149</v>
      </c>
      <c r="G15" s="81" t="s">
        <v>150</v>
      </c>
      <c r="H15" s="81" t="s">
        <v>151</v>
      </c>
      <c r="I15" s="81">
        <v>3.0</v>
      </c>
      <c r="J15" s="81">
        <v>3.0</v>
      </c>
      <c r="K15" s="81" t="s">
        <v>9</v>
      </c>
      <c r="L15" s="81" t="s">
        <v>152</v>
      </c>
      <c r="M15" s="81" t="s">
        <v>80</v>
      </c>
      <c r="N15" s="85">
        <v>46162.0</v>
      </c>
      <c r="O15" s="81" t="s">
        <v>28</v>
      </c>
      <c r="P15" s="81" t="s">
        <v>153</v>
      </c>
      <c r="Q15" s="82"/>
      <c r="R15" s="82"/>
      <c r="S15" s="82"/>
      <c r="T15" s="82"/>
      <c r="U15" s="82"/>
    </row>
    <row r="16">
      <c r="A16" s="84">
        <v>14.0</v>
      </c>
      <c r="B16" s="85">
        <v>46109.0</v>
      </c>
      <c r="C16" s="81" t="s">
        <v>74</v>
      </c>
      <c r="D16" s="81" t="s">
        <v>154</v>
      </c>
      <c r="E16" s="81" t="s">
        <v>155</v>
      </c>
      <c r="F16" s="81" t="s">
        <v>156</v>
      </c>
      <c r="G16" s="81" t="s">
        <v>11</v>
      </c>
      <c r="H16" s="86" t="s">
        <v>60</v>
      </c>
      <c r="I16" s="81">
        <v>2.0</v>
      </c>
      <c r="J16" s="81">
        <v>5.0</v>
      </c>
      <c r="K16" s="81" t="s">
        <v>4</v>
      </c>
      <c r="L16" s="81" t="s">
        <v>157</v>
      </c>
      <c r="M16" s="81" t="s">
        <v>118</v>
      </c>
      <c r="N16" s="85">
        <v>46167.0</v>
      </c>
      <c r="O16" s="81" t="s">
        <v>28</v>
      </c>
      <c r="P16" s="81" t="s">
        <v>158</v>
      </c>
      <c r="Q16" s="82"/>
      <c r="R16" s="82"/>
      <c r="S16" s="82"/>
      <c r="T16" s="82"/>
      <c r="U16" s="82"/>
    </row>
    <row r="17">
      <c r="A17" s="84">
        <v>15.0</v>
      </c>
      <c r="B17" s="85">
        <v>46109.0</v>
      </c>
      <c r="C17" s="81" t="s">
        <v>96</v>
      </c>
      <c r="D17" s="81" t="s">
        <v>159</v>
      </c>
      <c r="E17" s="81" t="s">
        <v>160</v>
      </c>
      <c r="F17" s="81" t="s">
        <v>161</v>
      </c>
      <c r="G17" s="81" t="s">
        <v>9</v>
      </c>
      <c r="H17" s="81" t="s">
        <v>4</v>
      </c>
      <c r="I17" s="81">
        <v>3.0</v>
      </c>
      <c r="J17" s="81">
        <v>4.0</v>
      </c>
      <c r="K17" s="81" t="s">
        <v>4</v>
      </c>
      <c r="L17" s="81" t="s">
        <v>162</v>
      </c>
      <c r="M17" s="81" t="s">
        <v>163</v>
      </c>
      <c r="N17" s="85">
        <v>46124.0</v>
      </c>
      <c r="O17" s="81" t="s">
        <v>28</v>
      </c>
      <c r="P17" s="81" t="s">
        <v>164</v>
      </c>
      <c r="Q17" s="82"/>
      <c r="R17" s="82"/>
      <c r="S17" s="82"/>
      <c r="T17" s="82"/>
      <c r="U17" s="82"/>
    </row>
    <row r="18">
      <c r="A18" s="84">
        <v>16.0</v>
      </c>
      <c r="B18" s="85">
        <v>46109.0</v>
      </c>
      <c r="C18" s="81" t="s">
        <v>120</v>
      </c>
      <c r="D18" s="81" t="s">
        <v>165</v>
      </c>
      <c r="E18" s="81" t="s">
        <v>166</v>
      </c>
      <c r="F18" s="81" t="s">
        <v>167</v>
      </c>
      <c r="G18" s="81" t="s">
        <v>9</v>
      </c>
      <c r="H18" s="81" t="s">
        <v>4</v>
      </c>
      <c r="I18" s="81">
        <v>3.0</v>
      </c>
      <c r="J18" s="81">
        <v>4.0</v>
      </c>
      <c r="K18" s="81" t="s">
        <v>4</v>
      </c>
      <c r="L18" s="81" t="s">
        <v>168</v>
      </c>
      <c r="M18" s="81" t="s">
        <v>169</v>
      </c>
      <c r="N18" s="85">
        <v>46164.0</v>
      </c>
      <c r="O18" s="81" t="s">
        <v>28</v>
      </c>
      <c r="P18" s="81" t="s">
        <v>170</v>
      </c>
      <c r="Q18" s="82"/>
      <c r="R18" s="82"/>
      <c r="S18" s="82"/>
      <c r="T18" s="82"/>
      <c r="U18" s="82"/>
    </row>
    <row r="19">
      <c r="A19" s="84">
        <v>17.0</v>
      </c>
      <c r="B19" s="85">
        <v>46109.0</v>
      </c>
      <c r="C19" s="81" t="s">
        <v>74</v>
      </c>
      <c r="D19" s="81" t="s">
        <v>171</v>
      </c>
      <c r="E19" s="81" t="s">
        <v>172</v>
      </c>
      <c r="F19" s="81" t="s">
        <v>173</v>
      </c>
      <c r="G19" s="81" t="s">
        <v>174</v>
      </c>
      <c r="H19" s="81" t="s">
        <v>4</v>
      </c>
      <c r="I19" s="81">
        <v>1.0</v>
      </c>
      <c r="J19" s="81">
        <v>4.0</v>
      </c>
      <c r="K19" s="81" t="s">
        <v>9</v>
      </c>
      <c r="L19" s="81" t="s">
        <v>175</v>
      </c>
      <c r="M19" s="81" t="s">
        <v>94</v>
      </c>
      <c r="N19" s="85">
        <v>46170.0</v>
      </c>
      <c r="O19" s="81" t="s">
        <v>28</v>
      </c>
      <c r="P19" s="81" t="s">
        <v>176</v>
      </c>
      <c r="Q19" s="82"/>
      <c r="R19" s="82"/>
      <c r="S19" s="82"/>
      <c r="T19" s="82"/>
      <c r="U19" s="82"/>
    </row>
    <row r="20">
      <c r="A20" s="84">
        <v>18.0</v>
      </c>
      <c r="B20" s="85">
        <v>46109.0</v>
      </c>
      <c r="C20" s="81" t="s">
        <v>74</v>
      </c>
      <c r="D20" s="81" t="s">
        <v>177</v>
      </c>
      <c r="E20" s="81" t="s">
        <v>178</v>
      </c>
      <c r="F20" s="81" t="s">
        <v>179</v>
      </c>
      <c r="G20" s="81" t="s">
        <v>9</v>
      </c>
      <c r="H20" s="81" t="s">
        <v>4</v>
      </c>
      <c r="I20" s="81">
        <v>3.0</v>
      </c>
      <c r="J20" s="81">
        <v>4.0</v>
      </c>
      <c r="K20" s="81" t="s">
        <v>4</v>
      </c>
      <c r="L20" s="81" t="s">
        <v>180</v>
      </c>
      <c r="M20" s="81" t="s">
        <v>181</v>
      </c>
      <c r="N20" s="85">
        <v>46172.0</v>
      </c>
      <c r="O20" s="81" t="s">
        <v>28</v>
      </c>
      <c r="P20" s="81" t="s">
        <v>182</v>
      </c>
      <c r="Q20" s="82"/>
      <c r="R20" s="82"/>
      <c r="S20" s="82"/>
      <c r="T20" s="82"/>
      <c r="U20" s="82"/>
    </row>
    <row r="21">
      <c r="A21" s="84">
        <v>19.0</v>
      </c>
      <c r="B21" s="85">
        <v>46109.0</v>
      </c>
      <c r="C21" s="81" t="s">
        <v>107</v>
      </c>
      <c r="D21" s="81" t="s">
        <v>183</v>
      </c>
      <c r="E21" s="81" t="s">
        <v>184</v>
      </c>
      <c r="F21" s="81" t="s">
        <v>185</v>
      </c>
      <c r="G21" s="81" t="s">
        <v>11</v>
      </c>
      <c r="H21" s="86" t="s">
        <v>60</v>
      </c>
      <c r="I21" s="81">
        <v>1.0</v>
      </c>
      <c r="J21" s="81">
        <v>5.0</v>
      </c>
      <c r="K21" s="81" t="s">
        <v>4</v>
      </c>
      <c r="L21" s="81" t="s">
        <v>186</v>
      </c>
      <c r="M21" s="81" t="s">
        <v>80</v>
      </c>
      <c r="N21" s="85">
        <v>46167.0</v>
      </c>
      <c r="O21" s="81" t="s">
        <v>28</v>
      </c>
      <c r="P21" s="81" t="s">
        <v>187</v>
      </c>
      <c r="Q21" s="82"/>
      <c r="R21" s="82"/>
      <c r="S21" s="82"/>
      <c r="T21" s="82"/>
      <c r="U21" s="82"/>
    </row>
    <row r="22">
      <c r="A22" s="84">
        <v>20.0</v>
      </c>
      <c r="B22" s="85">
        <v>46109.0</v>
      </c>
      <c r="C22" s="81" t="s">
        <v>96</v>
      </c>
      <c r="D22" s="81" t="s">
        <v>188</v>
      </c>
      <c r="E22" s="81" t="s">
        <v>189</v>
      </c>
      <c r="F22" s="81" t="s">
        <v>190</v>
      </c>
      <c r="G22" s="81" t="s">
        <v>4</v>
      </c>
      <c r="H22" s="81" t="s">
        <v>4</v>
      </c>
      <c r="I22" s="81">
        <v>4.0</v>
      </c>
      <c r="J22" s="81">
        <v>4.0</v>
      </c>
      <c r="K22" s="81" t="s">
        <v>60</v>
      </c>
      <c r="L22" s="81" t="s">
        <v>191</v>
      </c>
      <c r="M22" s="81" t="s">
        <v>145</v>
      </c>
      <c r="N22" s="85">
        <v>46130.0</v>
      </c>
      <c r="O22" s="81" t="s">
        <v>28</v>
      </c>
      <c r="P22" s="81" t="s">
        <v>192</v>
      </c>
      <c r="Q22" s="82"/>
      <c r="R22" s="82"/>
      <c r="S22" s="82"/>
      <c r="T22" s="82"/>
      <c r="U22" s="82"/>
    </row>
    <row r="23">
      <c r="A23" s="84">
        <v>21.0</v>
      </c>
      <c r="B23" s="88">
        <v>46110.0</v>
      </c>
      <c r="C23" s="89" t="s">
        <v>74</v>
      </c>
      <c r="D23" s="89" t="s">
        <v>193</v>
      </c>
      <c r="E23" s="89" t="s">
        <v>194</v>
      </c>
      <c r="F23" s="89" t="s">
        <v>195</v>
      </c>
      <c r="G23" s="89" t="s">
        <v>9</v>
      </c>
      <c r="H23" s="90" t="s">
        <v>60</v>
      </c>
      <c r="I23" s="89">
        <v>3.0</v>
      </c>
      <c r="J23" s="89">
        <v>5.0</v>
      </c>
      <c r="K23" s="89" t="s">
        <v>60</v>
      </c>
      <c r="L23" s="89" t="s">
        <v>196</v>
      </c>
      <c r="M23" s="89" t="s">
        <v>197</v>
      </c>
      <c r="N23" s="88">
        <v>46183.0</v>
      </c>
      <c r="O23" s="89" t="s">
        <v>28</v>
      </c>
      <c r="P23" s="89" t="s">
        <v>198</v>
      </c>
      <c r="Q23" s="91"/>
      <c r="R23" s="91"/>
      <c r="S23" s="91"/>
      <c r="T23" s="91"/>
      <c r="U23" s="91"/>
      <c r="V23" s="92"/>
      <c r="W23" s="92"/>
      <c r="X23" s="92"/>
      <c r="Y23" s="92"/>
      <c r="Z23" s="92"/>
    </row>
    <row r="24">
      <c r="A24" s="84">
        <v>22.0</v>
      </c>
      <c r="B24" s="88">
        <v>46111.0</v>
      </c>
      <c r="C24" s="89" t="s">
        <v>74</v>
      </c>
      <c r="D24" s="89" t="s">
        <v>199</v>
      </c>
      <c r="E24" s="89" t="s">
        <v>200</v>
      </c>
      <c r="F24" s="89" t="s">
        <v>201</v>
      </c>
      <c r="G24" s="89" t="s">
        <v>9</v>
      </c>
      <c r="H24" s="89" t="s">
        <v>4</v>
      </c>
      <c r="I24" s="89">
        <v>3.0</v>
      </c>
      <c r="J24" s="89">
        <v>4.0</v>
      </c>
      <c r="K24" s="89" t="s">
        <v>4</v>
      </c>
      <c r="L24" s="89" t="s">
        <v>202</v>
      </c>
      <c r="M24" s="89" t="s">
        <v>197</v>
      </c>
      <c r="N24" s="88">
        <v>46188.0</v>
      </c>
      <c r="O24" s="89" t="s">
        <v>28</v>
      </c>
      <c r="P24" s="89" t="s">
        <v>203</v>
      </c>
      <c r="Q24" s="91"/>
      <c r="R24" s="91"/>
      <c r="S24" s="91"/>
      <c r="T24" s="91"/>
      <c r="U24" s="91"/>
      <c r="V24" s="92"/>
      <c r="W24" s="92"/>
      <c r="X24" s="92"/>
      <c r="Y24" s="92"/>
      <c r="Z24" s="92"/>
    </row>
    <row r="25">
      <c r="A25" s="84">
        <v>23.0</v>
      </c>
      <c r="B25" s="88">
        <v>46112.0</v>
      </c>
      <c r="C25" s="89" t="s">
        <v>74</v>
      </c>
      <c r="D25" s="89" t="s">
        <v>204</v>
      </c>
      <c r="E25" s="89" t="s">
        <v>205</v>
      </c>
      <c r="F25" s="89" t="s">
        <v>206</v>
      </c>
      <c r="G25" s="89" t="s">
        <v>9</v>
      </c>
      <c r="H25" s="89" t="s">
        <v>4</v>
      </c>
      <c r="I25" s="89">
        <v>3.0</v>
      </c>
      <c r="J25" s="89">
        <v>4.0</v>
      </c>
      <c r="K25" s="89" t="s">
        <v>4</v>
      </c>
      <c r="L25" s="89" t="s">
        <v>207</v>
      </c>
      <c r="M25" s="89" t="s">
        <v>208</v>
      </c>
      <c r="N25" s="88">
        <v>46191.0</v>
      </c>
      <c r="O25" s="89" t="s">
        <v>28</v>
      </c>
      <c r="P25" s="89" t="s">
        <v>209</v>
      </c>
      <c r="Q25" s="91"/>
      <c r="R25" s="91"/>
      <c r="S25" s="91"/>
      <c r="T25" s="91"/>
      <c r="U25" s="91"/>
      <c r="V25" s="92"/>
      <c r="W25" s="92"/>
      <c r="X25" s="92"/>
      <c r="Y25" s="92"/>
      <c r="Z25" s="92"/>
    </row>
    <row r="26">
      <c r="A26" s="84">
        <v>24.0</v>
      </c>
      <c r="B26" s="88">
        <v>46113.0</v>
      </c>
      <c r="C26" s="89" t="s">
        <v>74</v>
      </c>
      <c r="D26" s="89" t="s">
        <v>210</v>
      </c>
      <c r="E26" s="89" t="s">
        <v>211</v>
      </c>
      <c r="F26" s="89" t="s">
        <v>212</v>
      </c>
      <c r="G26" s="89" t="s">
        <v>9</v>
      </c>
      <c r="H26" s="89" t="s">
        <v>60</v>
      </c>
      <c r="I26" s="89">
        <v>3.0</v>
      </c>
      <c r="J26" s="89">
        <v>5.0</v>
      </c>
      <c r="K26" s="89" t="s">
        <v>60</v>
      </c>
      <c r="L26" s="89" t="s">
        <v>213</v>
      </c>
      <c r="M26" s="89" t="s">
        <v>208</v>
      </c>
      <c r="N26" s="88">
        <v>46193.0</v>
      </c>
      <c r="O26" s="89" t="s">
        <v>28</v>
      </c>
      <c r="P26" s="89" t="s">
        <v>214</v>
      </c>
      <c r="Q26" s="91"/>
      <c r="R26" s="91"/>
      <c r="S26" s="91"/>
      <c r="T26" s="91"/>
      <c r="U26" s="91"/>
      <c r="V26" s="92"/>
      <c r="W26" s="92"/>
      <c r="X26" s="92"/>
      <c r="Y26" s="92"/>
      <c r="Z26" s="92"/>
    </row>
    <row r="27">
      <c r="A27" s="84">
        <v>25.0</v>
      </c>
      <c r="B27" s="88">
        <v>46114.0</v>
      </c>
      <c r="C27" s="89" t="s">
        <v>120</v>
      </c>
      <c r="D27" s="89" t="s">
        <v>215</v>
      </c>
      <c r="E27" s="89" t="s">
        <v>216</v>
      </c>
      <c r="F27" s="89" t="s">
        <v>217</v>
      </c>
      <c r="G27" s="89" t="s">
        <v>4</v>
      </c>
      <c r="H27" s="89" t="s">
        <v>4</v>
      </c>
      <c r="I27" s="89">
        <v>4.0</v>
      </c>
      <c r="J27" s="89">
        <v>4.0</v>
      </c>
      <c r="K27" s="89" t="s">
        <v>60</v>
      </c>
      <c r="L27" s="89" t="s">
        <v>218</v>
      </c>
      <c r="M27" s="89" t="s">
        <v>208</v>
      </c>
      <c r="N27" s="88">
        <v>46135.0</v>
      </c>
      <c r="O27" s="89" t="s">
        <v>28</v>
      </c>
      <c r="P27" s="89" t="s">
        <v>219</v>
      </c>
      <c r="Q27" s="91"/>
      <c r="R27" s="91"/>
      <c r="S27" s="91"/>
      <c r="T27" s="91"/>
      <c r="U27" s="91"/>
      <c r="V27" s="92"/>
      <c r="W27" s="92"/>
      <c r="X27" s="92"/>
      <c r="Y27" s="92"/>
      <c r="Z27" s="92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2"/>
      <c r="R28" s="82"/>
      <c r="S28" s="82"/>
      <c r="T28" s="82"/>
      <c r="U28" s="82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2"/>
      <c r="R29" s="82"/>
      <c r="S29" s="82"/>
      <c r="T29" s="82"/>
      <c r="U29" s="82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2"/>
      <c r="R30" s="82"/>
      <c r="S30" s="82"/>
      <c r="T30" s="82"/>
      <c r="U30" s="82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2"/>
      <c r="R31" s="82"/>
      <c r="S31" s="82"/>
      <c r="T31" s="82"/>
      <c r="U31" s="82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2"/>
      <c r="R32" s="82"/>
      <c r="S32" s="82"/>
      <c r="T32" s="82"/>
      <c r="U32" s="82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2"/>
      <c r="R33" s="82"/>
      <c r="S33" s="82"/>
      <c r="T33" s="82"/>
      <c r="U33" s="82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2"/>
      <c r="R34" s="82"/>
      <c r="S34" s="82"/>
      <c r="T34" s="82"/>
      <c r="U34" s="82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2"/>
      <c r="R35" s="82"/>
      <c r="S35" s="82"/>
      <c r="T35" s="82"/>
      <c r="U35" s="82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2"/>
      <c r="R36" s="82"/>
      <c r="S36" s="82"/>
      <c r="T36" s="82"/>
      <c r="U36" s="82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2"/>
      <c r="R37" s="82"/>
      <c r="S37" s="82"/>
      <c r="T37" s="82"/>
      <c r="U37" s="82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2"/>
      <c r="R38" s="82"/>
      <c r="S38" s="82"/>
      <c r="T38" s="82"/>
      <c r="U38" s="82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2"/>
      <c r="R39" s="82"/>
      <c r="S39" s="82"/>
      <c r="T39" s="82"/>
      <c r="U39" s="82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2"/>
      <c r="R40" s="82"/>
      <c r="S40" s="82"/>
      <c r="T40" s="82"/>
      <c r="U40" s="82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2"/>
      <c r="R41" s="82"/>
      <c r="S41" s="82"/>
      <c r="T41" s="82"/>
      <c r="U41" s="82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2"/>
      <c r="R42" s="82"/>
      <c r="S42" s="82"/>
      <c r="T42" s="82"/>
      <c r="U42" s="82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2"/>
      <c r="R43" s="82"/>
      <c r="S43" s="82"/>
      <c r="T43" s="82"/>
      <c r="U43" s="82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2"/>
      <c r="R44" s="82"/>
      <c r="S44" s="82"/>
      <c r="T44" s="82"/>
      <c r="U44" s="82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2"/>
      <c r="R45" s="82"/>
      <c r="S45" s="82"/>
      <c r="T45" s="82"/>
      <c r="U45" s="82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2"/>
      <c r="R46" s="82"/>
      <c r="S46" s="82"/>
      <c r="T46" s="82"/>
      <c r="U46" s="82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2"/>
      <c r="R47" s="82"/>
      <c r="S47" s="82"/>
      <c r="T47" s="82"/>
      <c r="U47" s="82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2"/>
      <c r="R48" s="82"/>
      <c r="S48" s="82"/>
      <c r="T48" s="82"/>
      <c r="U48" s="82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2"/>
      <c r="R49" s="82"/>
      <c r="S49" s="82"/>
      <c r="T49" s="82"/>
      <c r="U49" s="82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2"/>
      <c r="R50" s="82"/>
      <c r="S50" s="82"/>
      <c r="T50" s="82"/>
      <c r="U50" s="82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2"/>
      <c r="R51" s="82"/>
      <c r="S51" s="82"/>
      <c r="T51" s="82"/>
      <c r="U51" s="82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2"/>
      <c r="R52" s="82"/>
      <c r="S52" s="82"/>
      <c r="T52" s="82"/>
      <c r="U52" s="82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2"/>
      <c r="R53" s="82"/>
      <c r="S53" s="82"/>
      <c r="T53" s="82"/>
      <c r="U53" s="82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2"/>
      <c r="S54" s="82"/>
      <c r="T54" s="82"/>
      <c r="U54" s="82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2"/>
      <c r="R55" s="82"/>
      <c r="S55" s="82"/>
      <c r="T55" s="82"/>
      <c r="U55" s="82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2"/>
      <c r="R56" s="82"/>
      <c r="S56" s="82"/>
      <c r="T56" s="82"/>
      <c r="U56" s="82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2"/>
      <c r="R57" s="82"/>
      <c r="S57" s="82"/>
      <c r="T57" s="82"/>
      <c r="U57" s="82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2"/>
      <c r="R58" s="82"/>
      <c r="S58" s="82"/>
      <c r="T58" s="82"/>
      <c r="U58" s="82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2"/>
      <c r="R59" s="82"/>
      <c r="S59" s="82"/>
      <c r="T59" s="82"/>
      <c r="U59" s="82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2"/>
      <c r="R60" s="82"/>
      <c r="S60" s="82"/>
      <c r="T60" s="82"/>
      <c r="U60" s="82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2"/>
      <c r="R61" s="82"/>
      <c r="S61" s="82"/>
      <c r="T61" s="82"/>
      <c r="U61" s="82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2"/>
      <c r="R62" s="82"/>
      <c r="S62" s="82"/>
      <c r="T62" s="82"/>
      <c r="U62" s="82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2"/>
      <c r="R63" s="82"/>
      <c r="S63" s="82"/>
      <c r="T63" s="82"/>
      <c r="U63" s="82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2"/>
      <c r="R64" s="82"/>
      <c r="S64" s="82"/>
      <c r="T64" s="82"/>
      <c r="U64" s="82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2"/>
      <c r="R65" s="82"/>
      <c r="S65" s="82"/>
      <c r="T65" s="82"/>
      <c r="U65" s="82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2"/>
      <c r="R66" s="82"/>
      <c r="S66" s="82"/>
      <c r="T66" s="82"/>
      <c r="U66" s="82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2"/>
      <c r="R67" s="82"/>
      <c r="S67" s="82"/>
      <c r="T67" s="82"/>
      <c r="U67" s="82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2"/>
      <c r="R68" s="82"/>
      <c r="S68" s="82"/>
      <c r="T68" s="82"/>
      <c r="U68" s="82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2"/>
      <c r="R69" s="82"/>
      <c r="S69" s="82"/>
      <c r="T69" s="82"/>
      <c r="U69" s="82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2"/>
      <c r="R70" s="82"/>
      <c r="S70" s="82"/>
      <c r="T70" s="82"/>
      <c r="U70" s="82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82"/>
      <c r="S71" s="82"/>
      <c r="T71" s="82"/>
      <c r="U71" s="82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2"/>
      <c r="R72" s="82"/>
      <c r="S72" s="82"/>
      <c r="T72" s="82"/>
      <c r="U72" s="82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2"/>
      <c r="R73" s="82"/>
      <c r="S73" s="82"/>
      <c r="T73" s="82"/>
      <c r="U73" s="82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2"/>
      <c r="R74" s="82"/>
      <c r="S74" s="82"/>
      <c r="T74" s="82"/>
      <c r="U74" s="82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2"/>
      <c r="R75" s="82"/>
      <c r="S75" s="82"/>
      <c r="T75" s="82"/>
      <c r="U75" s="82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2"/>
      <c r="R76" s="82"/>
      <c r="S76" s="82"/>
      <c r="T76" s="82"/>
      <c r="U76" s="82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2"/>
      <c r="R77" s="82"/>
      <c r="S77" s="82"/>
      <c r="T77" s="82"/>
      <c r="U77" s="82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2"/>
      <c r="R78" s="82"/>
      <c r="S78" s="82"/>
      <c r="T78" s="82"/>
      <c r="U78" s="82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2"/>
      <c r="R79" s="82"/>
      <c r="S79" s="82"/>
      <c r="T79" s="82"/>
      <c r="U79" s="82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2"/>
      <c r="R80" s="82"/>
      <c r="S80" s="82"/>
      <c r="T80" s="82"/>
      <c r="U80" s="82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2"/>
      <c r="R81" s="82"/>
      <c r="S81" s="82"/>
      <c r="T81" s="82"/>
      <c r="U81" s="82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2"/>
      <c r="R82" s="82"/>
      <c r="S82" s="82"/>
      <c r="T82" s="82"/>
      <c r="U82" s="82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2"/>
      <c r="R83" s="82"/>
      <c r="S83" s="82"/>
      <c r="T83" s="82"/>
      <c r="U83" s="82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2"/>
      <c r="R84" s="82"/>
      <c r="S84" s="82"/>
      <c r="T84" s="82"/>
      <c r="U84" s="82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2"/>
      <c r="R85" s="82"/>
      <c r="S85" s="82"/>
      <c r="T85" s="82"/>
      <c r="U85" s="82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2"/>
      <c r="R86" s="82"/>
      <c r="S86" s="82"/>
      <c r="T86" s="82"/>
      <c r="U86" s="82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2"/>
      <c r="R87" s="82"/>
      <c r="S87" s="82"/>
      <c r="T87" s="82"/>
      <c r="U87" s="82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2"/>
      <c r="R88" s="82"/>
      <c r="S88" s="82"/>
      <c r="T88" s="82"/>
      <c r="U88" s="82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2"/>
      <c r="R89" s="82"/>
      <c r="S89" s="82"/>
      <c r="T89" s="82"/>
      <c r="U89" s="82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2"/>
      <c r="R90" s="82"/>
      <c r="S90" s="82"/>
      <c r="T90" s="82"/>
      <c r="U90" s="82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2"/>
      <c r="R91" s="82"/>
      <c r="S91" s="82"/>
      <c r="T91" s="82"/>
      <c r="U91" s="82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2"/>
      <c r="R92" s="82"/>
      <c r="S92" s="82"/>
      <c r="T92" s="82"/>
      <c r="U92" s="82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2"/>
      <c r="R93" s="82"/>
      <c r="S93" s="82"/>
      <c r="T93" s="82"/>
      <c r="U93" s="82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2"/>
      <c r="R94" s="82"/>
      <c r="S94" s="82"/>
      <c r="T94" s="82"/>
      <c r="U94" s="82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2"/>
      <c r="R95" s="82"/>
      <c r="S95" s="82"/>
      <c r="T95" s="82"/>
      <c r="U95" s="82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2"/>
      <c r="R96" s="82"/>
      <c r="S96" s="82"/>
      <c r="T96" s="82"/>
      <c r="U96" s="82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2"/>
      <c r="R97" s="82"/>
      <c r="S97" s="82"/>
      <c r="T97" s="82"/>
      <c r="U97" s="82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2"/>
      <c r="R98" s="82"/>
      <c r="S98" s="82"/>
      <c r="T98" s="82"/>
      <c r="U98" s="82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2"/>
      <c r="R99" s="82"/>
      <c r="S99" s="82"/>
      <c r="T99" s="82"/>
      <c r="U99" s="82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2"/>
      <c r="R100" s="82"/>
      <c r="S100" s="82"/>
      <c r="T100" s="82"/>
      <c r="U100" s="82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2"/>
      <c r="R101" s="82"/>
      <c r="S101" s="82"/>
      <c r="T101" s="82"/>
      <c r="U101" s="82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2"/>
      <c r="R102" s="82"/>
      <c r="S102" s="82"/>
      <c r="T102" s="82"/>
      <c r="U102" s="82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2"/>
      <c r="R103" s="82"/>
      <c r="S103" s="82"/>
      <c r="T103" s="82"/>
      <c r="U103" s="82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2"/>
      <c r="R104" s="82"/>
      <c r="S104" s="82"/>
      <c r="T104" s="82"/>
      <c r="U104" s="82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2"/>
      <c r="R105" s="82"/>
      <c r="S105" s="82"/>
      <c r="T105" s="82"/>
      <c r="U105" s="82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2"/>
      <c r="R106" s="82"/>
      <c r="S106" s="82"/>
      <c r="T106" s="82"/>
      <c r="U106" s="82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2"/>
      <c r="R107" s="82"/>
      <c r="S107" s="82"/>
      <c r="T107" s="82"/>
      <c r="U107" s="82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2"/>
      <c r="R108" s="82"/>
      <c r="S108" s="82"/>
      <c r="T108" s="82"/>
      <c r="U108" s="82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2"/>
      <c r="R109" s="82"/>
      <c r="S109" s="82"/>
      <c r="T109" s="82"/>
      <c r="U109" s="82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2"/>
      <c r="R110" s="82"/>
      <c r="S110" s="82"/>
      <c r="T110" s="82"/>
      <c r="U110" s="82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2"/>
      <c r="R111" s="82"/>
      <c r="S111" s="82"/>
      <c r="T111" s="82"/>
      <c r="U111" s="82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2"/>
      <c r="R112" s="82"/>
      <c r="S112" s="82"/>
      <c r="T112" s="82"/>
      <c r="U112" s="82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2"/>
      <c r="R113" s="82"/>
      <c r="S113" s="82"/>
      <c r="T113" s="82"/>
      <c r="U113" s="82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2"/>
      <c r="R114" s="82"/>
      <c r="S114" s="82"/>
      <c r="T114" s="82"/>
      <c r="U114" s="82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2"/>
      <c r="R115" s="82"/>
      <c r="S115" s="82"/>
      <c r="T115" s="82"/>
      <c r="U115" s="82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2"/>
      <c r="R116" s="82"/>
      <c r="S116" s="82"/>
      <c r="T116" s="82"/>
      <c r="U116" s="82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2"/>
      <c r="R117" s="82"/>
      <c r="S117" s="82"/>
      <c r="T117" s="82"/>
      <c r="U117" s="82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2"/>
      <c r="R118" s="82"/>
      <c r="S118" s="82"/>
      <c r="T118" s="82"/>
      <c r="U118" s="82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2"/>
      <c r="R119" s="82"/>
      <c r="S119" s="82"/>
      <c r="T119" s="82"/>
      <c r="U119" s="82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2"/>
      <c r="R120" s="82"/>
      <c r="S120" s="82"/>
      <c r="T120" s="82"/>
      <c r="U120" s="82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2"/>
      <c r="R121" s="82"/>
      <c r="S121" s="82"/>
      <c r="T121" s="82"/>
      <c r="U121" s="82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2"/>
      <c r="R122" s="82"/>
      <c r="S122" s="82"/>
      <c r="T122" s="82"/>
      <c r="U122" s="82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2"/>
      <c r="R123" s="82"/>
      <c r="S123" s="82"/>
      <c r="T123" s="82"/>
      <c r="U123" s="82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2"/>
      <c r="R124" s="82"/>
      <c r="S124" s="82"/>
      <c r="T124" s="82"/>
      <c r="U124" s="82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2"/>
      <c r="R125" s="82"/>
      <c r="S125" s="82"/>
      <c r="T125" s="82"/>
      <c r="U125" s="82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2"/>
      <c r="R126" s="82"/>
      <c r="S126" s="82"/>
      <c r="T126" s="82"/>
      <c r="U126" s="82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2"/>
      <c r="R127" s="82"/>
      <c r="S127" s="82"/>
      <c r="T127" s="82"/>
      <c r="U127" s="82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2"/>
      <c r="R128" s="82"/>
      <c r="S128" s="82"/>
      <c r="T128" s="82"/>
      <c r="U128" s="82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2"/>
      <c r="R129" s="82"/>
      <c r="S129" s="82"/>
      <c r="T129" s="82"/>
      <c r="U129" s="82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2"/>
      <c r="R130" s="82"/>
      <c r="S130" s="82"/>
      <c r="T130" s="82"/>
      <c r="U130" s="82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2"/>
      <c r="R131" s="82"/>
      <c r="S131" s="82"/>
      <c r="T131" s="82"/>
      <c r="U131" s="82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2"/>
      <c r="R132" s="82"/>
      <c r="S132" s="82"/>
      <c r="T132" s="82"/>
      <c r="U132" s="82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2"/>
      <c r="R133" s="82"/>
      <c r="S133" s="82"/>
      <c r="T133" s="82"/>
      <c r="U133" s="82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2"/>
      <c r="R134" s="82"/>
      <c r="S134" s="82"/>
      <c r="T134" s="82"/>
      <c r="U134" s="82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2"/>
      <c r="R135" s="82"/>
      <c r="S135" s="82"/>
      <c r="T135" s="82"/>
      <c r="U135" s="82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2"/>
      <c r="R136" s="82"/>
      <c r="S136" s="82"/>
      <c r="T136" s="82"/>
      <c r="U136" s="82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2"/>
      <c r="R137" s="82"/>
      <c r="S137" s="82"/>
      <c r="T137" s="82"/>
      <c r="U137" s="82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2"/>
      <c r="R138" s="82"/>
      <c r="S138" s="82"/>
      <c r="T138" s="82"/>
      <c r="U138" s="82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2"/>
      <c r="R139" s="82"/>
      <c r="S139" s="82"/>
      <c r="T139" s="82"/>
      <c r="U139" s="82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2"/>
      <c r="R140" s="82"/>
      <c r="S140" s="82"/>
      <c r="T140" s="82"/>
      <c r="U140" s="82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2"/>
      <c r="R141" s="82"/>
      <c r="S141" s="82"/>
      <c r="T141" s="82"/>
      <c r="U141" s="82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2"/>
      <c r="R142" s="82"/>
      <c r="S142" s="82"/>
      <c r="T142" s="82"/>
      <c r="U142" s="82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2"/>
      <c r="R143" s="82"/>
      <c r="S143" s="82"/>
      <c r="T143" s="82"/>
      <c r="U143" s="82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2"/>
      <c r="R144" s="82"/>
      <c r="S144" s="82"/>
      <c r="T144" s="82"/>
      <c r="U144" s="82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2"/>
      <c r="R145" s="82"/>
      <c r="S145" s="82"/>
      <c r="T145" s="82"/>
      <c r="U145" s="82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2"/>
      <c r="R146" s="82"/>
      <c r="S146" s="82"/>
      <c r="T146" s="82"/>
      <c r="U146" s="82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2"/>
      <c r="R147" s="82"/>
      <c r="S147" s="82"/>
      <c r="T147" s="82"/>
      <c r="U147" s="82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2"/>
      <c r="R148" s="82"/>
      <c r="S148" s="82"/>
      <c r="T148" s="82"/>
      <c r="U148" s="82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2"/>
      <c r="R149" s="82"/>
      <c r="S149" s="82"/>
      <c r="T149" s="82"/>
      <c r="U149" s="82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2"/>
      <c r="R150" s="82"/>
      <c r="S150" s="82"/>
      <c r="T150" s="82"/>
      <c r="U150" s="82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2"/>
      <c r="R151" s="82"/>
      <c r="S151" s="82"/>
      <c r="T151" s="82"/>
      <c r="U151" s="82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2"/>
      <c r="R152" s="82"/>
      <c r="S152" s="82"/>
      <c r="T152" s="82"/>
      <c r="U152" s="82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2"/>
      <c r="R153" s="82"/>
      <c r="S153" s="82"/>
      <c r="T153" s="82"/>
      <c r="U153" s="82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2"/>
      <c r="R154" s="82"/>
      <c r="S154" s="82"/>
      <c r="T154" s="82"/>
      <c r="U154" s="82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2"/>
      <c r="R155" s="82"/>
      <c r="S155" s="82"/>
      <c r="T155" s="82"/>
      <c r="U155" s="82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2"/>
      <c r="R156" s="82"/>
      <c r="S156" s="82"/>
      <c r="T156" s="82"/>
      <c r="U156" s="82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2"/>
      <c r="R157" s="82"/>
      <c r="S157" s="82"/>
      <c r="T157" s="82"/>
      <c r="U157" s="82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2"/>
      <c r="R158" s="82"/>
      <c r="S158" s="82"/>
      <c r="T158" s="82"/>
      <c r="U158" s="82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2"/>
      <c r="R159" s="82"/>
      <c r="S159" s="82"/>
      <c r="T159" s="82"/>
      <c r="U159" s="82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2"/>
      <c r="R160" s="82"/>
      <c r="S160" s="82"/>
      <c r="T160" s="82"/>
      <c r="U160" s="82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2"/>
      <c r="R161" s="82"/>
      <c r="S161" s="82"/>
      <c r="T161" s="82"/>
      <c r="U161" s="82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2"/>
      <c r="R162" s="82"/>
      <c r="S162" s="82"/>
      <c r="T162" s="82"/>
      <c r="U162" s="82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2"/>
      <c r="R163" s="82"/>
      <c r="S163" s="82"/>
      <c r="T163" s="82"/>
      <c r="U163" s="82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2"/>
      <c r="R164" s="82"/>
      <c r="S164" s="82"/>
      <c r="T164" s="82"/>
      <c r="U164" s="82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2"/>
      <c r="R165" s="82"/>
      <c r="S165" s="82"/>
      <c r="T165" s="82"/>
      <c r="U165" s="82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2"/>
      <c r="R166" s="82"/>
      <c r="S166" s="82"/>
      <c r="T166" s="82"/>
      <c r="U166" s="82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2"/>
      <c r="R167" s="82"/>
      <c r="S167" s="82"/>
      <c r="T167" s="82"/>
      <c r="U167" s="82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2"/>
      <c r="R168" s="82"/>
      <c r="S168" s="82"/>
      <c r="T168" s="82"/>
      <c r="U168" s="82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2"/>
      <c r="R169" s="82"/>
      <c r="S169" s="82"/>
      <c r="T169" s="82"/>
      <c r="U169" s="82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2"/>
      <c r="R170" s="82"/>
      <c r="S170" s="82"/>
      <c r="T170" s="82"/>
      <c r="U170" s="82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2"/>
      <c r="R171" s="82"/>
      <c r="S171" s="82"/>
      <c r="T171" s="82"/>
      <c r="U171" s="82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2"/>
      <c r="R172" s="82"/>
      <c r="S172" s="82"/>
      <c r="T172" s="82"/>
      <c r="U172" s="82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2"/>
      <c r="R173" s="82"/>
      <c r="S173" s="82"/>
      <c r="T173" s="82"/>
      <c r="U173" s="82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2"/>
      <c r="R174" s="82"/>
      <c r="S174" s="82"/>
      <c r="T174" s="82"/>
      <c r="U174" s="82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2"/>
      <c r="R175" s="82"/>
      <c r="S175" s="82"/>
      <c r="T175" s="82"/>
      <c r="U175" s="82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2"/>
      <c r="R176" s="82"/>
      <c r="S176" s="82"/>
      <c r="T176" s="82"/>
      <c r="U176" s="82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2"/>
      <c r="R177" s="82"/>
      <c r="S177" s="82"/>
      <c r="T177" s="82"/>
      <c r="U177" s="82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2"/>
      <c r="R178" s="82"/>
      <c r="S178" s="82"/>
      <c r="T178" s="82"/>
      <c r="U178" s="82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2"/>
      <c r="R179" s="82"/>
      <c r="S179" s="82"/>
      <c r="T179" s="82"/>
      <c r="U179" s="82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2"/>
      <c r="R180" s="82"/>
      <c r="S180" s="82"/>
      <c r="T180" s="82"/>
      <c r="U180" s="82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2"/>
      <c r="R181" s="82"/>
      <c r="S181" s="82"/>
      <c r="T181" s="82"/>
      <c r="U181" s="82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2"/>
      <c r="R182" s="82"/>
      <c r="S182" s="82"/>
      <c r="T182" s="82"/>
      <c r="U182" s="82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2"/>
      <c r="R183" s="82"/>
      <c r="S183" s="82"/>
      <c r="T183" s="82"/>
      <c r="U183" s="82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2"/>
      <c r="R184" s="82"/>
      <c r="S184" s="82"/>
      <c r="T184" s="82"/>
      <c r="U184" s="82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2"/>
      <c r="R185" s="82"/>
      <c r="S185" s="82"/>
      <c r="T185" s="82"/>
      <c r="U185" s="82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2"/>
      <c r="R186" s="82"/>
      <c r="S186" s="82"/>
      <c r="T186" s="82"/>
      <c r="U186" s="82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2"/>
      <c r="R187" s="82"/>
      <c r="S187" s="82"/>
      <c r="T187" s="82"/>
      <c r="U187" s="82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2"/>
      <c r="R188" s="82"/>
      <c r="S188" s="82"/>
      <c r="T188" s="82"/>
      <c r="U188" s="82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2"/>
      <c r="R189" s="82"/>
      <c r="S189" s="82"/>
      <c r="T189" s="82"/>
      <c r="U189" s="82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2"/>
      <c r="R190" s="82"/>
      <c r="S190" s="82"/>
      <c r="T190" s="82"/>
      <c r="U190" s="82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2"/>
      <c r="R191" s="82"/>
      <c r="S191" s="82"/>
      <c r="T191" s="82"/>
      <c r="U191" s="82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2"/>
      <c r="R192" s="82"/>
      <c r="S192" s="82"/>
      <c r="T192" s="82"/>
      <c r="U192" s="82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2"/>
      <c r="R193" s="82"/>
      <c r="S193" s="82"/>
      <c r="T193" s="82"/>
      <c r="U193" s="82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2"/>
      <c r="R194" s="82"/>
      <c r="S194" s="82"/>
      <c r="T194" s="82"/>
      <c r="U194" s="82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2"/>
      <c r="R195" s="82"/>
      <c r="S195" s="82"/>
      <c r="T195" s="82"/>
      <c r="U195" s="82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2"/>
      <c r="R196" s="82"/>
      <c r="S196" s="82"/>
      <c r="T196" s="82"/>
      <c r="U196" s="82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2"/>
      <c r="R197" s="82"/>
      <c r="S197" s="82"/>
      <c r="T197" s="82"/>
      <c r="U197" s="82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2"/>
      <c r="R198" s="82"/>
      <c r="S198" s="82"/>
      <c r="T198" s="82"/>
      <c r="U198" s="82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2"/>
      <c r="R199" s="82"/>
      <c r="S199" s="82"/>
      <c r="T199" s="82"/>
      <c r="U199" s="82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2"/>
      <c r="R200" s="82"/>
      <c r="S200" s="82"/>
      <c r="T200" s="82"/>
      <c r="U200" s="82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2"/>
      <c r="R201" s="82"/>
      <c r="S201" s="82"/>
      <c r="T201" s="82"/>
      <c r="U201" s="82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2"/>
      <c r="R202" s="82"/>
      <c r="S202" s="82"/>
      <c r="T202" s="82"/>
      <c r="U202" s="82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2"/>
      <c r="R203" s="82"/>
      <c r="S203" s="82"/>
      <c r="T203" s="82"/>
      <c r="U203" s="82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2"/>
      <c r="R204" s="82"/>
      <c r="S204" s="82"/>
      <c r="T204" s="82"/>
      <c r="U204" s="82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2"/>
      <c r="R205" s="82"/>
      <c r="S205" s="82"/>
      <c r="T205" s="82"/>
      <c r="U205" s="82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2"/>
      <c r="R206" s="82"/>
      <c r="S206" s="82"/>
      <c r="T206" s="82"/>
      <c r="U206" s="82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2"/>
      <c r="R207" s="82"/>
      <c r="S207" s="82"/>
      <c r="T207" s="82"/>
      <c r="U207" s="82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2"/>
      <c r="R208" s="82"/>
      <c r="S208" s="82"/>
      <c r="T208" s="82"/>
      <c r="U208" s="82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2"/>
      <c r="R209" s="82"/>
      <c r="S209" s="82"/>
      <c r="T209" s="82"/>
      <c r="U209" s="82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2"/>
      <c r="R210" s="82"/>
      <c r="S210" s="82"/>
      <c r="T210" s="82"/>
      <c r="U210" s="82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2"/>
      <c r="R211" s="82"/>
      <c r="S211" s="82"/>
      <c r="T211" s="82"/>
      <c r="U211" s="82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2"/>
      <c r="R212" s="82"/>
      <c r="S212" s="82"/>
      <c r="T212" s="82"/>
      <c r="U212" s="82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2"/>
      <c r="R213" s="82"/>
      <c r="S213" s="82"/>
      <c r="T213" s="82"/>
      <c r="U213" s="82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2"/>
      <c r="R214" s="82"/>
      <c r="S214" s="82"/>
      <c r="T214" s="82"/>
      <c r="U214" s="82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2"/>
      <c r="R215" s="82"/>
      <c r="S215" s="82"/>
      <c r="T215" s="82"/>
      <c r="U215" s="82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2"/>
      <c r="R216" s="82"/>
      <c r="S216" s="82"/>
      <c r="T216" s="82"/>
      <c r="U216" s="82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2"/>
      <c r="R217" s="82"/>
      <c r="S217" s="82"/>
      <c r="T217" s="82"/>
      <c r="U217" s="82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2"/>
      <c r="R218" s="82"/>
      <c r="S218" s="82"/>
      <c r="T218" s="82"/>
      <c r="U218" s="82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2"/>
      <c r="R219" s="82"/>
      <c r="S219" s="82"/>
      <c r="T219" s="82"/>
      <c r="U219" s="82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2"/>
      <c r="R220" s="82"/>
      <c r="S220" s="82"/>
      <c r="T220" s="82"/>
      <c r="U220" s="82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2"/>
      <c r="R221" s="82"/>
      <c r="S221" s="82"/>
      <c r="T221" s="82"/>
      <c r="U221" s="82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2"/>
      <c r="R222" s="82"/>
      <c r="S222" s="82"/>
      <c r="T222" s="82"/>
      <c r="U222" s="82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2"/>
      <c r="R223" s="82"/>
      <c r="S223" s="82"/>
      <c r="T223" s="82"/>
      <c r="U223" s="82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2"/>
      <c r="R224" s="82"/>
      <c r="S224" s="82"/>
      <c r="T224" s="82"/>
      <c r="U224" s="82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2"/>
      <c r="R225" s="82"/>
      <c r="S225" s="82"/>
      <c r="T225" s="82"/>
      <c r="U225" s="82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2"/>
      <c r="R226" s="82"/>
      <c r="S226" s="82"/>
      <c r="T226" s="82"/>
      <c r="U226" s="82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2"/>
      <c r="R227" s="82"/>
      <c r="S227" s="82"/>
      <c r="T227" s="82"/>
      <c r="U227" s="82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2"/>
      <c r="R228" s="82"/>
      <c r="S228" s="82"/>
      <c r="T228" s="82"/>
      <c r="U228" s="82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2"/>
      <c r="R229" s="82"/>
      <c r="S229" s="82"/>
      <c r="T229" s="82"/>
      <c r="U229" s="82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2"/>
      <c r="R230" s="82"/>
      <c r="S230" s="82"/>
      <c r="T230" s="82"/>
      <c r="U230" s="82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2"/>
      <c r="R231" s="82"/>
      <c r="S231" s="82"/>
      <c r="T231" s="82"/>
      <c r="U231" s="82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2"/>
      <c r="R232" s="82"/>
      <c r="S232" s="82"/>
      <c r="T232" s="82"/>
      <c r="U232" s="82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2"/>
      <c r="R233" s="82"/>
      <c r="S233" s="82"/>
      <c r="T233" s="82"/>
      <c r="U233" s="82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2"/>
      <c r="R234" s="82"/>
      <c r="S234" s="82"/>
      <c r="T234" s="82"/>
      <c r="U234" s="82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2"/>
      <c r="R235" s="82"/>
      <c r="S235" s="82"/>
      <c r="T235" s="82"/>
      <c r="U235" s="82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2"/>
      <c r="R236" s="82"/>
      <c r="S236" s="82"/>
      <c r="T236" s="82"/>
      <c r="U236" s="82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2"/>
      <c r="R237" s="82"/>
      <c r="S237" s="82"/>
      <c r="T237" s="82"/>
      <c r="U237" s="82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2"/>
      <c r="R238" s="82"/>
      <c r="S238" s="82"/>
      <c r="T238" s="82"/>
      <c r="U238" s="82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2"/>
      <c r="R239" s="82"/>
      <c r="S239" s="82"/>
      <c r="T239" s="82"/>
      <c r="U239" s="82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2"/>
      <c r="R240" s="82"/>
      <c r="S240" s="82"/>
      <c r="T240" s="82"/>
      <c r="U240" s="82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2"/>
      <c r="R241" s="82"/>
      <c r="S241" s="82"/>
      <c r="T241" s="82"/>
      <c r="U241" s="82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2"/>
      <c r="R242" s="82"/>
      <c r="S242" s="82"/>
      <c r="T242" s="82"/>
      <c r="U242" s="82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2"/>
      <c r="R243" s="82"/>
      <c r="S243" s="82"/>
      <c r="T243" s="82"/>
      <c r="U243" s="82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2"/>
      <c r="R244" s="82"/>
      <c r="S244" s="82"/>
      <c r="T244" s="82"/>
      <c r="U244" s="82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2"/>
      <c r="R245" s="82"/>
      <c r="S245" s="82"/>
      <c r="T245" s="82"/>
      <c r="U245" s="82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2"/>
      <c r="R246" s="82"/>
      <c r="S246" s="82"/>
      <c r="T246" s="82"/>
      <c r="U246" s="82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2"/>
      <c r="R247" s="82"/>
      <c r="S247" s="82"/>
      <c r="T247" s="82"/>
      <c r="U247" s="82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2"/>
      <c r="R248" s="82"/>
      <c r="S248" s="82"/>
      <c r="T248" s="82"/>
      <c r="U248" s="82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2"/>
      <c r="R249" s="82"/>
      <c r="S249" s="82"/>
      <c r="T249" s="82"/>
      <c r="U249" s="82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2"/>
      <c r="R250" s="82"/>
      <c r="S250" s="82"/>
      <c r="T250" s="82"/>
      <c r="U250" s="82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2"/>
      <c r="R251" s="82"/>
      <c r="S251" s="82"/>
      <c r="T251" s="82"/>
      <c r="U251" s="82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2"/>
      <c r="R252" s="82"/>
      <c r="S252" s="82"/>
      <c r="T252" s="82"/>
      <c r="U252" s="82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2"/>
      <c r="R253" s="82"/>
      <c r="S253" s="82"/>
      <c r="T253" s="82"/>
      <c r="U253" s="82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2"/>
      <c r="R254" s="82"/>
      <c r="S254" s="82"/>
      <c r="T254" s="82"/>
      <c r="U254" s="82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2"/>
      <c r="R255" s="82"/>
      <c r="S255" s="82"/>
      <c r="T255" s="82"/>
      <c r="U255" s="82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2"/>
      <c r="R256" s="82"/>
      <c r="S256" s="82"/>
      <c r="T256" s="82"/>
      <c r="U256" s="82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2"/>
      <c r="R257" s="82"/>
      <c r="S257" s="82"/>
      <c r="T257" s="82"/>
      <c r="U257" s="82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2"/>
      <c r="R258" s="82"/>
      <c r="S258" s="82"/>
      <c r="T258" s="82"/>
      <c r="U258" s="82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2"/>
      <c r="R259" s="82"/>
      <c r="S259" s="82"/>
      <c r="T259" s="82"/>
      <c r="U259" s="82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2"/>
      <c r="R260" s="82"/>
      <c r="S260" s="82"/>
      <c r="T260" s="82"/>
      <c r="U260" s="82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2"/>
      <c r="R261" s="82"/>
      <c r="S261" s="82"/>
      <c r="T261" s="82"/>
      <c r="U261" s="82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2"/>
      <c r="R262" s="82"/>
      <c r="S262" s="82"/>
      <c r="T262" s="82"/>
      <c r="U262" s="82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2"/>
      <c r="R263" s="82"/>
      <c r="S263" s="82"/>
      <c r="T263" s="82"/>
      <c r="U263" s="82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2"/>
      <c r="R264" s="82"/>
      <c r="S264" s="82"/>
      <c r="T264" s="82"/>
      <c r="U264" s="82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2"/>
      <c r="R265" s="82"/>
      <c r="S265" s="82"/>
      <c r="T265" s="82"/>
      <c r="U265" s="82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2"/>
      <c r="R266" s="82"/>
      <c r="S266" s="82"/>
      <c r="T266" s="82"/>
      <c r="U266" s="82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2"/>
      <c r="R267" s="82"/>
      <c r="S267" s="82"/>
      <c r="T267" s="82"/>
      <c r="U267" s="82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2"/>
      <c r="R268" s="82"/>
      <c r="S268" s="82"/>
      <c r="T268" s="82"/>
      <c r="U268" s="82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2"/>
      <c r="R269" s="82"/>
      <c r="S269" s="82"/>
      <c r="T269" s="82"/>
      <c r="U269" s="82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2"/>
      <c r="R270" s="82"/>
      <c r="S270" s="82"/>
      <c r="T270" s="82"/>
      <c r="U270" s="82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2"/>
      <c r="R271" s="82"/>
      <c r="S271" s="82"/>
      <c r="T271" s="82"/>
      <c r="U271" s="82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2"/>
      <c r="R272" s="82"/>
      <c r="S272" s="82"/>
      <c r="T272" s="82"/>
      <c r="U272" s="82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2"/>
      <c r="R273" s="82"/>
      <c r="S273" s="82"/>
      <c r="T273" s="82"/>
      <c r="U273" s="82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2"/>
      <c r="R274" s="82"/>
      <c r="S274" s="82"/>
      <c r="T274" s="82"/>
      <c r="U274" s="82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2"/>
      <c r="R275" s="82"/>
      <c r="S275" s="82"/>
      <c r="T275" s="82"/>
      <c r="U275" s="82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2"/>
      <c r="R276" s="82"/>
      <c r="S276" s="82"/>
      <c r="T276" s="82"/>
      <c r="U276" s="82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2"/>
      <c r="R277" s="82"/>
      <c r="S277" s="82"/>
      <c r="T277" s="82"/>
      <c r="U277" s="82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2"/>
      <c r="R278" s="82"/>
      <c r="S278" s="82"/>
      <c r="T278" s="82"/>
      <c r="U278" s="82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2"/>
      <c r="R279" s="82"/>
      <c r="S279" s="82"/>
      <c r="T279" s="82"/>
      <c r="U279" s="82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2"/>
      <c r="R280" s="82"/>
      <c r="S280" s="82"/>
      <c r="T280" s="82"/>
      <c r="U280" s="82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2"/>
      <c r="R281" s="82"/>
      <c r="S281" s="82"/>
      <c r="T281" s="82"/>
      <c r="U281" s="82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2"/>
      <c r="R282" s="82"/>
      <c r="S282" s="82"/>
      <c r="T282" s="82"/>
      <c r="U282" s="82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2"/>
      <c r="R283" s="82"/>
      <c r="S283" s="82"/>
      <c r="T283" s="82"/>
      <c r="U283" s="82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2"/>
      <c r="R284" s="82"/>
      <c r="S284" s="82"/>
      <c r="T284" s="82"/>
      <c r="U284" s="82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2"/>
      <c r="R285" s="82"/>
      <c r="S285" s="82"/>
      <c r="T285" s="82"/>
      <c r="U285" s="82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2"/>
      <c r="R286" s="82"/>
      <c r="S286" s="82"/>
      <c r="T286" s="82"/>
      <c r="U286" s="82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2"/>
      <c r="R287" s="82"/>
      <c r="S287" s="82"/>
      <c r="T287" s="82"/>
      <c r="U287" s="82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2"/>
      <c r="R288" s="82"/>
      <c r="S288" s="82"/>
      <c r="T288" s="82"/>
      <c r="U288" s="82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2"/>
      <c r="R289" s="82"/>
      <c r="S289" s="82"/>
      <c r="T289" s="82"/>
      <c r="U289" s="82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2"/>
      <c r="R290" s="82"/>
      <c r="S290" s="82"/>
      <c r="T290" s="82"/>
      <c r="U290" s="82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2"/>
      <c r="R291" s="82"/>
      <c r="S291" s="82"/>
      <c r="T291" s="82"/>
      <c r="U291" s="82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2"/>
      <c r="R292" s="82"/>
      <c r="S292" s="82"/>
      <c r="T292" s="82"/>
      <c r="U292" s="82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2"/>
      <c r="R293" s="82"/>
      <c r="S293" s="82"/>
      <c r="T293" s="82"/>
      <c r="U293" s="82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2"/>
      <c r="R294" s="82"/>
      <c r="S294" s="82"/>
      <c r="T294" s="82"/>
      <c r="U294" s="82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2"/>
      <c r="R295" s="82"/>
      <c r="S295" s="82"/>
      <c r="T295" s="82"/>
      <c r="U295" s="82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2"/>
      <c r="R296" s="82"/>
      <c r="S296" s="82"/>
      <c r="T296" s="82"/>
      <c r="U296" s="82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2"/>
      <c r="R297" s="82"/>
      <c r="S297" s="82"/>
      <c r="T297" s="82"/>
      <c r="U297" s="82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2"/>
      <c r="R298" s="82"/>
      <c r="S298" s="82"/>
      <c r="T298" s="82"/>
      <c r="U298" s="82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2"/>
      <c r="R299" s="82"/>
      <c r="S299" s="82"/>
      <c r="T299" s="82"/>
      <c r="U299" s="82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2"/>
      <c r="R300" s="82"/>
      <c r="S300" s="82"/>
      <c r="T300" s="82"/>
      <c r="U300" s="82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2"/>
      <c r="R301" s="82"/>
      <c r="S301" s="82"/>
      <c r="T301" s="82"/>
      <c r="U301" s="82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2"/>
      <c r="R302" s="82"/>
      <c r="S302" s="82"/>
      <c r="T302" s="82"/>
      <c r="U302" s="82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2"/>
      <c r="R303" s="82"/>
      <c r="S303" s="82"/>
      <c r="T303" s="82"/>
      <c r="U303" s="82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2"/>
      <c r="R304" s="82"/>
      <c r="S304" s="82"/>
      <c r="T304" s="82"/>
      <c r="U304" s="82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2"/>
      <c r="R305" s="82"/>
      <c r="S305" s="82"/>
      <c r="T305" s="82"/>
      <c r="U305" s="82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2"/>
      <c r="R306" s="82"/>
      <c r="S306" s="82"/>
      <c r="T306" s="82"/>
      <c r="U306" s="82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2"/>
      <c r="R307" s="82"/>
      <c r="S307" s="82"/>
      <c r="T307" s="82"/>
      <c r="U307" s="82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2"/>
      <c r="R308" s="82"/>
      <c r="S308" s="82"/>
      <c r="T308" s="82"/>
      <c r="U308" s="82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2"/>
      <c r="R309" s="82"/>
      <c r="S309" s="82"/>
      <c r="T309" s="82"/>
      <c r="U309" s="82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2"/>
      <c r="R310" s="82"/>
      <c r="S310" s="82"/>
      <c r="T310" s="82"/>
      <c r="U310" s="82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2"/>
      <c r="R311" s="82"/>
      <c r="S311" s="82"/>
      <c r="T311" s="82"/>
      <c r="U311" s="82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2"/>
      <c r="R312" s="82"/>
      <c r="S312" s="82"/>
      <c r="T312" s="82"/>
      <c r="U312" s="82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2"/>
      <c r="R313" s="82"/>
      <c r="S313" s="82"/>
      <c r="T313" s="82"/>
      <c r="U313" s="82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2"/>
      <c r="R314" s="82"/>
      <c r="S314" s="82"/>
      <c r="T314" s="82"/>
      <c r="U314" s="82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2"/>
      <c r="R315" s="82"/>
      <c r="S315" s="82"/>
      <c r="T315" s="82"/>
      <c r="U315" s="82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2"/>
      <c r="R316" s="82"/>
      <c r="S316" s="82"/>
      <c r="T316" s="82"/>
      <c r="U316" s="82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2"/>
      <c r="R317" s="82"/>
      <c r="S317" s="82"/>
      <c r="T317" s="82"/>
      <c r="U317" s="82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2"/>
      <c r="R318" s="82"/>
      <c r="S318" s="82"/>
      <c r="T318" s="82"/>
      <c r="U318" s="82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2"/>
      <c r="R319" s="82"/>
      <c r="S319" s="82"/>
      <c r="T319" s="82"/>
      <c r="U319" s="82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2"/>
      <c r="R320" s="82"/>
      <c r="S320" s="82"/>
      <c r="T320" s="82"/>
      <c r="U320" s="82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2"/>
      <c r="R321" s="82"/>
      <c r="S321" s="82"/>
      <c r="T321" s="82"/>
      <c r="U321" s="82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2"/>
      <c r="R322" s="82"/>
      <c r="S322" s="82"/>
      <c r="T322" s="82"/>
      <c r="U322" s="82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2"/>
      <c r="R323" s="82"/>
      <c r="S323" s="82"/>
      <c r="T323" s="82"/>
      <c r="U323" s="82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2"/>
      <c r="R324" s="82"/>
      <c r="S324" s="82"/>
      <c r="T324" s="82"/>
      <c r="U324" s="82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2"/>
      <c r="R325" s="82"/>
      <c r="S325" s="82"/>
      <c r="T325" s="82"/>
      <c r="U325" s="82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2"/>
      <c r="R326" s="82"/>
      <c r="S326" s="82"/>
      <c r="T326" s="82"/>
      <c r="U326" s="82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2"/>
      <c r="R327" s="82"/>
      <c r="S327" s="82"/>
      <c r="T327" s="82"/>
      <c r="U327" s="82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2"/>
      <c r="R328" s="82"/>
      <c r="S328" s="82"/>
      <c r="T328" s="82"/>
      <c r="U328" s="82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2"/>
      <c r="R329" s="82"/>
      <c r="S329" s="82"/>
      <c r="T329" s="82"/>
      <c r="U329" s="82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2"/>
      <c r="R330" s="82"/>
      <c r="S330" s="82"/>
      <c r="T330" s="82"/>
      <c r="U330" s="82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2"/>
      <c r="R331" s="82"/>
      <c r="S331" s="82"/>
      <c r="T331" s="82"/>
      <c r="U331" s="82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2"/>
      <c r="R332" s="82"/>
      <c r="S332" s="82"/>
      <c r="T332" s="82"/>
      <c r="U332" s="82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2"/>
      <c r="R333" s="82"/>
      <c r="S333" s="82"/>
      <c r="T333" s="82"/>
      <c r="U333" s="82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2"/>
      <c r="R334" s="82"/>
      <c r="S334" s="82"/>
      <c r="T334" s="82"/>
      <c r="U334" s="82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2"/>
      <c r="R335" s="82"/>
      <c r="S335" s="82"/>
      <c r="T335" s="82"/>
      <c r="U335" s="82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2"/>
      <c r="R336" s="82"/>
      <c r="S336" s="82"/>
      <c r="T336" s="82"/>
      <c r="U336" s="82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2"/>
      <c r="R337" s="82"/>
      <c r="S337" s="82"/>
      <c r="T337" s="82"/>
      <c r="U337" s="82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2"/>
      <c r="R338" s="82"/>
      <c r="S338" s="82"/>
      <c r="T338" s="82"/>
      <c r="U338" s="82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2"/>
      <c r="R339" s="82"/>
      <c r="S339" s="82"/>
      <c r="T339" s="82"/>
      <c r="U339" s="82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2"/>
      <c r="R340" s="82"/>
      <c r="S340" s="82"/>
      <c r="T340" s="82"/>
      <c r="U340" s="82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2"/>
      <c r="R341" s="82"/>
      <c r="S341" s="82"/>
      <c r="T341" s="82"/>
      <c r="U341" s="82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2"/>
      <c r="R342" s="82"/>
      <c r="S342" s="82"/>
      <c r="T342" s="82"/>
      <c r="U342" s="82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2"/>
      <c r="R343" s="82"/>
      <c r="S343" s="82"/>
      <c r="T343" s="82"/>
      <c r="U343" s="82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2"/>
      <c r="R344" s="82"/>
      <c r="S344" s="82"/>
      <c r="T344" s="82"/>
      <c r="U344" s="82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2"/>
      <c r="R345" s="82"/>
      <c r="S345" s="82"/>
      <c r="T345" s="82"/>
      <c r="U345" s="82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2"/>
      <c r="R346" s="82"/>
      <c r="S346" s="82"/>
      <c r="T346" s="82"/>
      <c r="U346" s="82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2"/>
      <c r="R347" s="82"/>
      <c r="S347" s="82"/>
      <c r="T347" s="82"/>
      <c r="U347" s="82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2"/>
      <c r="R348" s="82"/>
      <c r="S348" s="82"/>
      <c r="T348" s="82"/>
      <c r="U348" s="82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2"/>
      <c r="R349" s="82"/>
      <c r="S349" s="82"/>
      <c r="T349" s="82"/>
      <c r="U349" s="82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2"/>
      <c r="R350" s="82"/>
      <c r="S350" s="82"/>
      <c r="T350" s="82"/>
      <c r="U350" s="82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2"/>
      <c r="R351" s="82"/>
      <c r="S351" s="82"/>
      <c r="T351" s="82"/>
      <c r="U351" s="82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2"/>
      <c r="R352" s="82"/>
      <c r="S352" s="82"/>
      <c r="T352" s="82"/>
      <c r="U352" s="82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2"/>
      <c r="R353" s="82"/>
      <c r="S353" s="82"/>
      <c r="T353" s="82"/>
      <c r="U353" s="82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2"/>
      <c r="R354" s="82"/>
      <c r="S354" s="82"/>
      <c r="T354" s="82"/>
      <c r="U354" s="82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2"/>
      <c r="R355" s="82"/>
      <c r="S355" s="82"/>
      <c r="T355" s="82"/>
      <c r="U355" s="82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2"/>
      <c r="R356" s="82"/>
      <c r="S356" s="82"/>
      <c r="T356" s="82"/>
      <c r="U356" s="82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2"/>
      <c r="R357" s="82"/>
      <c r="S357" s="82"/>
      <c r="T357" s="82"/>
      <c r="U357" s="82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2"/>
      <c r="R358" s="82"/>
      <c r="S358" s="82"/>
      <c r="T358" s="82"/>
      <c r="U358" s="82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2"/>
      <c r="R359" s="82"/>
      <c r="S359" s="82"/>
      <c r="T359" s="82"/>
      <c r="U359" s="82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2"/>
      <c r="R360" s="82"/>
      <c r="S360" s="82"/>
      <c r="T360" s="82"/>
      <c r="U360" s="82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2"/>
      <c r="R361" s="82"/>
      <c r="S361" s="82"/>
      <c r="T361" s="82"/>
      <c r="U361" s="82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2"/>
      <c r="R362" s="82"/>
      <c r="S362" s="82"/>
      <c r="T362" s="82"/>
      <c r="U362" s="82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2"/>
      <c r="R363" s="82"/>
      <c r="S363" s="82"/>
      <c r="T363" s="82"/>
      <c r="U363" s="82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2"/>
      <c r="R364" s="82"/>
      <c r="S364" s="82"/>
      <c r="T364" s="82"/>
      <c r="U364" s="82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2"/>
      <c r="R365" s="82"/>
      <c r="S365" s="82"/>
      <c r="T365" s="82"/>
      <c r="U365" s="82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2"/>
      <c r="R366" s="82"/>
      <c r="S366" s="82"/>
      <c r="T366" s="82"/>
      <c r="U366" s="82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2"/>
      <c r="R367" s="82"/>
      <c r="S367" s="82"/>
      <c r="T367" s="82"/>
      <c r="U367" s="82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2"/>
      <c r="R368" s="82"/>
      <c r="S368" s="82"/>
      <c r="T368" s="82"/>
      <c r="U368" s="82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2"/>
      <c r="R369" s="82"/>
      <c r="S369" s="82"/>
      <c r="T369" s="82"/>
      <c r="U369" s="82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2"/>
      <c r="R370" s="82"/>
      <c r="S370" s="82"/>
      <c r="T370" s="82"/>
      <c r="U370" s="82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2"/>
      <c r="R371" s="82"/>
      <c r="S371" s="82"/>
      <c r="T371" s="82"/>
      <c r="U371" s="82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2"/>
      <c r="R372" s="82"/>
      <c r="S372" s="82"/>
      <c r="T372" s="82"/>
      <c r="U372" s="82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2"/>
      <c r="R373" s="82"/>
      <c r="S373" s="82"/>
      <c r="T373" s="82"/>
      <c r="U373" s="82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2"/>
      <c r="R374" s="82"/>
      <c r="S374" s="82"/>
      <c r="T374" s="82"/>
      <c r="U374" s="82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2"/>
      <c r="R375" s="82"/>
      <c r="S375" s="82"/>
      <c r="T375" s="82"/>
      <c r="U375" s="82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2"/>
      <c r="R376" s="82"/>
      <c r="S376" s="82"/>
      <c r="T376" s="82"/>
      <c r="U376" s="82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2"/>
      <c r="R377" s="82"/>
      <c r="S377" s="82"/>
      <c r="T377" s="82"/>
      <c r="U377" s="82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2"/>
      <c r="R378" s="82"/>
      <c r="S378" s="82"/>
      <c r="T378" s="82"/>
      <c r="U378" s="82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2"/>
      <c r="R379" s="82"/>
      <c r="S379" s="82"/>
      <c r="T379" s="82"/>
      <c r="U379" s="82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2"/>
      <c r="R380" s="82"/>
      <c r="S380" s="82"/>
      <c r="T380" s="82"/>
      <c r="U380" s="82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2"/>
      <c r="R381" s="82"/>
      <c r="S381" s="82"/>
      <c r="T381" s="82"/>
      <c r="U381" s="82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2"/>
      <c r="R382" s="82"/>
      <c r="S382" s="82"/>
      <c r="T382" s="82"/>
      <c r="U382" s="82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2"/>
      <c r="R383" s="82"/>
      <c r="S383" s="82"/>
      <c r="T383" s="82"/>
      <c r="U383" s="82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2"/>
      <c r="R384" s="82"/>
      <c r="S384" s="82"/>
      <c r="T384" s="82"/>
      <c r="U384" s="82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2"/>
      <c r="R385" s="82"/>
      <c r="S385" s="82"/>
      <c r="T385" s="82"/>
      <c r="U385" s="82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2"/>
      <c r="R386" s="82"/>
      <c r="S386" s="82"/>
      <c r="T386" s="82"/>
      <c r="U386" s="82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2"/>
      <c r="R387" s="82"/>
      <c r="S387" s="82"/>
      <c r="T387" s="82"/>
      <c r="U387" s="82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2"/>
      <c r="R388" s="82"/>
      <c r="S388" s="82"/>
      <c r="T388" s="82"/>
      <c r="U388" s="82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2"/>
      <c r="R389" s="82"/>
      <c r="S389" s="82"/>
      <c r="T389" s="82"/>
      <c r="U389" s="82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2"/>
      <c r="R390" s="82"/>
      <c r="S390" s="82"/>
      <c r="T390" s="82"/>
      <c r="U390" s="82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2"/>
      <c r="R391" s="82"/>
      <c r="S391" s="82"/>
      <c r="T391" s="82"/>
      <c r="U391" s="82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2"/>
      <c r="R392" s="82"/>
      <c r="S392" s="82"/>
      <c r="T392" s="82"/>
      <c r="U392" s="82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2"/>
      <c r="R393" s="82"/>
      <c r="S393" s="82"/>
      <c r="T393" s="82"/>
      <c r="U393" s="82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2"/>
      <c r="R394" s="82"/>
      <c r="S394" s="82"/>
      <c r="T394" s="82"/>
      <c r="U394" s="82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2"/>
      <c r="R395" s="82"/>
      <c r="S395" s="82"/>
      <c r="T395" s="82"/>
      <c r="U395" s="82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2"/>
      <c r="R396" s="82"/>
      <c r="S396" s="82"/>
      <c r="T396" s="82"/>
      <c r="U396" s="82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2"/>
      <c r="R397" s="82"/>
      <c r="S397" s="82"/>
      <c r="T397" s="82"/>
      <c r="U397" s="82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2"/>
      <c r="R398" s="82"/>
      <c r="S398" s="82"/>
      <c r="T398" s="82"/>
      <c r="U398" s="82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2"/>
      <c r="R399" s="82"/>
      <c r="S399" s="82"/>
      <c r="T399" s="82"/>
      <c r="U399" s="82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2"/>
      <c r="R400" s="82"/>
      <c r="S400" s="82"/>
      <c r="T400" s="82"/>
      <c r="U400" s="82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2"/>
      <c r="R401" s="82"/>
      <c r="S401" s="82"/>
      <c r="T401" s="82"/>
      <c r="U401" s="82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2"/>
      <c r="R402" s="82"/>
      <c r="S402" s="82"/>
      <c r="T402" s="82"/>
      <c r="U402" s="82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2"/>
      <c r="R403" s="82"/>
      <c r="S403" s="82"/>
      <c r="T403" s="82"/>
      <c r="U403" s="82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2"/>
      <c r="R404" s="82"/>
      <c r="S404" s="82"/>
      <c r="T404" s="82"/>
      <c r="U404" s="82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2"/>
      <c r="R405" s="82"/>
      <c r="S405" s="82"/>
      <c r="T405" s="82"/>
      <c r="U405" s="82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2"/>
      <c r="R406" s="82"/>
      <c r="S406" s="82"/>
      <c r="T406" s="82"/>
      <c r="U406" s="82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2"/>
      <c r="R407" s="82"/>
      <c r="S407" s="82"/>
      <c r="T407" s="82"/>
      <c r="U407" s="82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2"/>
      <c r="R408" s="82"/>
      <c r="S408" s="82"/>
      <c r="T408" s="82"/>
      <c r="U408" s="82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2"/>
      <c r="R409" s="82"/>
      <c r="S409" s="82"/>
      <c r="T409" s="82"/>
      <c r="U409" s="82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2"/>
      <c r="R410" s="82"/>
      <c r="S410" s="82"/>
      <c r="T410" s="82"/>
      <c r="U410" s="82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2"/>
      <c r="R411" s="82"/>
      <c r="S411" s="82"/>
      <c r="T411" s="82"/>
      <c r="U411" s="82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2"/>
      <c r="R412" s="82"/>
      <c r="S412" s="82"/>
      <c r="T412" s="82"/>
      <c r="U412" s="82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2"/>
      <c r="R413" s="82"/>
      <c r="S413" s="82"/>
      <c r="T413" s="82"/>
      <c r="U413" s="82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2"/>
      <c r="R414" s="82"/>
      <c r="S414" s="82"/>
      <c r="T414" s="82"/>
      <c r="U414" s="82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2"/>
      <c r="R415" s="82"/>
      <c r="S415" s="82"/>
      <c r="T415" s="82"/>
      <c r="U415" s="82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2"/>
      <c r="R416" s="82"/>
      <c r="S416" s="82"/>
      <c r="T416" s="82"/>
      <c r="U416" s="82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2"/>
      <c r="R417" s="82"/>
      <c r="S417" s="82"/>
      <c r="T417" s="82"/>
      <c r="U417" s="82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2"/>
      <c r="R418" s="82"/>
      <c r="S418" s="82"/>
      <c r="T418" s="82"/>
      <c r="U418" s="82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2"/>
      <c r="R419" s="82"/>
      <c r="S419" s="82"/>
      <c r="T419" s="82"/>
      <c r="U419" s="82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2"/>
      <c r="R420" s="82"/>
      <c r="S420" s="82"/>
      <c r="T420" s="82"/>
      <c r="U420" s="82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2"/>
      <c r="R421" s="82"/>
      <c r="S421" s="82"/>
      <c r="T421" s="82"/>
      <c r="U421" s="82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2"/>
      <c r="R422" s="82"/>
      <c r="S422" s="82"/>
      <c r="T422" s="82"/>
      <c r="U422" s="82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2"/>
      <c r="R423" s="82"/>
      <c r="S423" s="82"/>
      <c r="T423" s="82"/>
      <c r="U423" s="82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2"/>
      <c r="R424" s="82"/>
      <c r="S424" s="82"/>
      <c r="T424" s="82"/>
      <c r="U424" s="82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2"/>
      <c r="R425" s="82"/>
      <c r="S425" s="82"/>
      <c r="T425" s="82"/>
      <c r="U425" s="82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2"/>
      <c r="R426" s="82"/>
      <c r="S426" s="82"/>
      <c r="T426" s="82"/>
      <c r="U426" s="82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2"/>
      <c r="R427" s="82"/>
      <c r="S427" s="82"/>
      <c r="T427" s="82"/>
      <c r="U427" s="82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2"/>
      <c r="R428" s="82"/>
      <c r="S428" s="82"/>
      <c r="T428" s="82"/>
      <c r="U428" s="82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2"/>
      <c r="R429" s="82"/>
      <c r="S429" s="82"/>
      <c r="T429" s="82"/>
      <c r="U429" s="82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2"/>
      <c r="R430" s="82"/>
      <c r="S430" s="82"/>
      <c r="T430" s="82"/>
      <c r="U430" s="82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2"/>
      <c r="R431" s="82"/>
      <c r="S431" s="82"/>
      <c r="T431" s="82"/>
      <c r="U431" s="82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2"/>
      <c r="R432" s="82"/>
      <c r="S432" s="82"/>
      <c r="T432" s="82"/>
      <c r="U432" s="82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2"/>
      <c r="R433" s="82"/>
      <c r="S433" s="82"/>
      <c r="T433" s="82"/>
      <c r="U433" s="82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2"/>
      <c r="R434" s="82"/>
      <c r="S434" s="82"/>
      <c r="T434" s="82"/>
      <c r="U434" s="82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2"/>
      <c r="R435" s="82"/>
      <c r="S435" s="82"/>
      <c r="T435" s="82"/>
      <c r="U435" s="82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2"/>
      <c r="R436" s="82"/>
      <c r="S436" s="82"/>
      <c r="T436" s="82"/>
      <c r="U436" s="82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2"/>
      <c r="R437" s="82"/>
      <c r="S437" s="82"/>
      <c r="T437" s="82"/>
      <c r="U437" s="82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2"/>
      <c r="R438" s="82"/>
      <c r="S438" s="82"/>
      <c r="T438" s="82"/>
      <c r="U438" s="82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2"/>
      <c r="R439" s="82"/>
      <c r="S439" s="82"/>
      <c r="T439" s="82"/>
      <c r="U439" s="82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2"/>
      <c r="R440" s="82"/>
      <c r="S440" s="82"/>
      <c r="T440" s="82"/>
      <c r="U440" s="82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2"/>
      <c r="R441" s="82"/>
      <c r="S441" s="82"/>
      <c r="T441" s="82"/>
      <c r="U441" s="82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2"/>
      <c r="R442" s="82"/>
      <c r="S442" s="82"/>
      <c r="T442" s="82"/>
      <c r="U442" s="82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2"/>
      <c r="R443" s="82"/>
      <c r="S443" s="82"/>
      <c r="T443" s="82"/>
      <c r="U443" s="82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2"/>
      <c r="R444" s="82"/>
      <c r="S444" s="82"/>
      <c r="T444" s="82"/>
      <c r="U444" s="82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2"/>
      <c r="R445" s="82"/>
      <c r="S445" s="82"/>
      <c r="T445" s="82"/>
      <c r="U445" s="82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2"/>
      <c r="R446" s="82"/>
      <c r="S446" s="82"/>
      <c r="T446" s="82"/>
      <c r="U446" s="82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2"/>
      <c r="R447" s="82"/>
      <c r="S447" s="82"/>
      <c r="T447" s="82"/>
      <c r="U447" s="82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2"/>
      <c r="R448" s="82"/>
      <c r="S448" s="82"/>
      <c r="T448" s="82"/>
      <c r="U448" s="82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2"/>
      <c r="R449" s="82"/>
      <c r="S449" s="82"/>
      <c r="T449" s="82"/>
      <c r="U449" s="82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2"/>
      <c r="R450" s="82"/>
      <c r="S450" s="82"/>
      <c r="T450" s="82"/>
      <c r="U450" s="82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2"/>
      <c r="R451" s="82"/>
      <c r="S451" s="82"/>
      <c r="T451" s="82"/>
      <c r="U451" s="82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2"/>
      <c r="R452" s="82"/>
      <c r="S452" s="82"/>
      <c r="T452" s="82"/>
      <c r="U452" s="82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2"/>
      <c r="R453" s="82"/>
      <c r="S453" s="82"/>
      <c r="T453" s="82"/>
      <c r="U453" s="82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2"/>
      <c r="R454" s="82"/>
      <c r="S454" s="82"/>
      <c r="T454" s="82"/>
      <c r="U454" s="82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2"/>
      <c r="R455" s="82"/>
      <c r="S455" s="82"/>
      <c r="T455" s="82"/>
      <c r="U455" s="82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2"/>
      <c r="R456" s="82"/>
      <c r="S456" s="82"/>
      <c r="T456" s="82"/>
      <c r="U456" s="82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2"/>
      <c r="R457" s="82"/>
      <c r="S457" s="82"/>
      <c r="T457" s="82"/>
      <c r="U457" s="82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2"/>
      <c r="R458" s="82"/>
      <c r="S458" s="82"/>
      <c r="T458" s="82"/>
      <c r="U458" s="82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2"/>
      <c r="R459" s="82"/>
      <c r="S459" s="82"/>
      <c r="T459" s="82"/>
      <c r="U459" s="82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2"/>
      <c r="R460" s="82"/>
      <c r="S460" s="82"/>
      <c r="T460" s="82"/>
      <c r="U460" s="82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2"/>
      <c r="R461" s="82"/>
      <c r="S461" s="82"/>
      <c r="T461" s="82"/>
      <c r="U461" s="82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2"/>
      <c r="R462" s="82"/>
      <c r="S462" s="82"/>
      <c r="T462" s="82"/>
      <c r="U462" s="82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2"/>
      <c r="R463" s="82"/>
      <c r="S463" s="82"/>
      <c r="T463" s="82"/>
      <c r="U463" s="82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2"/>
      <c r="R464" s="82"/>
      <c r="S464" s="82"/>
      <c r="T464" s="82"/>
      <c r="U464" s="82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2"/>
      <c r="R465" s="82"/>
      <c r="S465" s="82"/>
      <c r="T465" s="82"/>
      <c r="U465" s="82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2"/>
      <c r="R466" s="82"/>
      <c r="S466" s="82"/>
      <c r="T466" s="82"/>
      <c r="U466" s="82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2"/>
      <c r="R467" s="82"/>
      <c r="S467" s="82"/>
      <c r="T467" s="82"/>
      <c r="U467" s="82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2"/>
      <c r="R468" s="82"/>
      <c r="S468" s="82"/>
      <c r="T468" s="82"/>
      <c r="U468" s="82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2"/>
      <c r="R469" s="82"/>
      <c r="S469" s="82"/>
      <c r="T469" s="82"/>
      <c r="U469" s="82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2"/>
      <c r="R470" s="82"/>
      <c r="S470" s="82"/>
      <c r="T470" s="82"/>
      <c r="U470" s="82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2"/>
      <c r="R471" s="82"/>
      <c r="S471" s="82"/>
      <c r="T471" s="82"/>
      <c r="U471" s="82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2"/>
      <c r="R472" s="82"/>
      <c r="S472" s="82"/>
      <c r="T472" s="82"/>
      <c r="U472" s="82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2"/>
      <c r="R473" s="82"/>
      <c r="S473" s="82"/>
      <c r="T473" s="82"/>
      <c r="U473" s="82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2"/>
      <c r="R474" s="82"/>
      <c r="S474" s="82"/>
      <c r="T474" s="82"/>
      <c r="U474" s="82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2"/>
      <c r="R475" s="82"/>
      <c r="S475" s="82"/>
      <c r="T475" s="82"/>
      <c r="U475" s="82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2"/>
      <c r="R476" s="82"/>
      <c r="S476" s="82"/>
      <c r="T476" s="82"/>
      <c r="U476" s="82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2"/>
      <c r="R477" s="82"/>
      <c r="S477" s="82"/>
      <c r="T477" s="82"/>
      <c r="U477" s="82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2"/>
      <c r="R478" s="82"/>
      <c r="S478" s="82"/>
      <c r="T478" s="82"/>
      <c r="U478" s="82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2"/>
      <c r="R479" s="82"/>
      <c r="S479" s="82"/>
      <c r="T479" s="82"/>
      <c r="U479" s="82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2"/>
      <c r="R480" s="82"/>
      <c r="S480" s="82"/>
      <c r="T480" s="82"/>
      <c r="U480" s="82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2"/>
      <c r="R481" s="82"/>
      <c r="S481" s="82"/>
      <c r="T481" s="82"/>
      <c r="U481" s="82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2"/>
      <c r="R482" s="82"/>
      <c r="S482" s="82"/>
      <c r="T482" s="82"/>
      <c r="U482" s="82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2"/>
      <c r="R483" s="82"/>
      <c r="S483" s="82"/>
      <c r="T483" s="82"/>
      <c r="U483" s="82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2"/>
      <c r="R484" s="82"/>
      <c r="S484" s="82"/>
      <c r="T484" s="82"/>
      <c r="U484" s="82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2"/>
      <c r="R485" s="82"/>
      <c r="S485" s="82"/>
      <c r="T485" s="82"/>
      <c r="U485" s="82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2"/>
      <c r="R486" s="82"/>
      <c r="S486" s="82"/>
      <c r="T486" s="82"/>
      <c r="U486" s="82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2"/>
      <c r="R487" s="82"/>
      <c r="S487" s="82"/>
      <c r="T487" s="82"/>
      <c r="U487" s="82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2"/>
      <c r="R488" s="82"/>
      <c r="S488" s="82"/>
      <c r="T488" s="82"/>
      <c r="U488" s="82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2"/>
      <c r="R489" s="82"/>
      <c r="S489" s="82"/>
      <c r="T489" s="82"/>
      <c r="U489" s="82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2"/>
      <c r="R490" s="82"/>
      <c r="S490" s="82"/>
      <c r="T490" s="82"/>
      <c r="U490" s="82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2"/>
      <c r="R491" s="82"/>
      <c r="S491" s="82"/>
      <c r="T491" s="82"/>
      <c r="U491" s="82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2"/>
      <c r="R492" s="82"/>
      <c r="S492" s="82"/>
      <c r="T492" s="82"/>
      <c r="U492" s="82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2"/>
      <c r="R493" s="82"/>
      <c r="S493" s="82"/>
      <c r="T493" s="82"/>
      <c r="U493" s="82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2"/>
      <c r="R494" s="82"/>
      <c r="S494" s="82"/>
      <c r="T494" s="82"/>
      <c r="U494" s="82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2"/>
      <c r="R495" s="82"/>
      <c r="S495" s="82"/>
      <c r="T495" s="82"/>
      <c r="U495" s="82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2"/>
      <c r="R496" s="82"/>
      <c r="S496" s="82"/>
      <c r="T496" s="82"/>
      <c r="U496" s="82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2"/>
      <c r="R497" s="82"/>
      <c r="S497" s="82"/>
      <c r="T497" s="82"/>
      <c r="U497" s="82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2"/>
      <c r="R498" s="82"/>
      <c r="S498" s="82"/>
      <c r="T498" s="82"/>
      <c r="U498" s="82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2"/>
      <c r="R499" s="82"/>
      <c r="S499" s="82"/>
      <c r="T499" s="82"/>
      <c r="U499" s="82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2"/>
      <c r="R500" s="82"/>
      <c r="S500" s="82"/>
      <c r="T500" s="82"/>
      <c r="U500" s="82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2"/>
      <c r="R501" s="82"/>
      <c r="S501" s="82"/>
      <c r="T501" s="82"/>
      <c r="U501" s="82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2"/>
      <c r="R502" s="82"/>
      <c r="S502" s="82"/>
      <c r="T502" s="82"/>
      <c r="U502" s="82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2"/>
      <c r="R503" s="82"/>
      <c r="S503" s="82"/>
      <c r="T503" s="82"/>
      <c r="U503" s="82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2"/>
      <c r="R504" s="82"/>
      <c r="S504" s="82"/>
      <c r="T504" s="82"/>
      <c r="U504" s="82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2"/>
      <c r="R505" s="82"/>
      <c r="S505" s="82"/>
      <c r="T505" s="82"/>
      <c r="U505" s="82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2"/>
      <c r="R506" s="82"/>
      <c r="S506" s="82"/>
      <c r="T506" s="82"/>
      <c r="U506" s="82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2"/>
      <c r="R507" s="82"/>
      <c r="S507" s="82"/>
      <c r="T507" s="82"/>
      <c r="U507" s="82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2"/>
      <c r="R508" s="82"/>
      <c r="S508" s="82"/>
      <c r="T508" s="82"/>
      <c r="U508" s="82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2"/>
      <c r="R509" s="82"/>
      <c r="S509" s="82"/>
      <c r="T509" s="82"/>
      <c r="U509" s="82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2"/>
      <c r="R510" s="82"/>
      <c r="S510" s="82"/>
      <c r="T510" s="82"/>
      <c r="U510" s="82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2"/>
      <c r="R511" s="82"/>
      <c r="S511" s="82"/>
      <c r="T511" s="82"/>
      <c r="U511" s="82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2"/>
      <c r="R512" s="82"/>
      <c r="S512" s="82"/>
      <c r="T512" s="82"/>
      <c r="U512" s="82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2"/>
      <c r="R513" s="82"/>
      <c r="S513" s="82"/>
      <c r="T513" s="82"/>
      <c r="U513" s="82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2"/>
      <c r="R514" s="82"/>
      <c r="S514" s="82"/>
      <c r="T514" s="82"/>
      <c r="U514" s="82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2"/>
      <c r="R515" s="82"/>
      <c r="S515" s="82"/>
      <c r="T515" s="82"/>
      <c r="U515" s="82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2"/>
      <c r="R516" s="82"/>
      <c r="S516" s="82"/>
      <c r="T516" s="82"/>
      <c r="U516" s="82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2"/>
      <c r="R517" s="82"/>
      <c r="S517" s="82"/>
      <c r="T517" s="82"/>
      <c r="U517" s="82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2"/>
      <c r="R518" s="82"/>
      <c r="S518" s="82"/>
      <c r="T518" s="82"/>
      <c r="U518" s="82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2"/>
      <c r="R519" s="82"/>
      <c r="S519" s="82"/>
      <c r="T519" s="82"/>
      <c r="U519" s="82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2"/>
      <c r="R520" s="82"/>
      <c r="S520" s="82"/>
      <c r="T520" s="82"/>
      <c r="U520" s="82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2"/>
      <c r="R521" s="82"/>
      <c r="S521" s="82"/>
      <c r="T521" s="82"/>
      <c r="U521" s="82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2"/>
      <c r="R522" s="82"/>
      <c r="S522" s="82"/>
      <c r="T522" s="82"/>
      <c r="U522" s="82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2"/>
      <c r="R523" s="82"/>
      <c r="S523" s="82"/>
      <c r="T523" s="82"/>
      <c r="U523" s="82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2"/>
      <c r="R524" s="82"/>
      <c r="S524" s="82"/>
      <c r="T524" s="82"/>
      <c r="U524" s="82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2"/>
      <c r="R525" s="82"/>
      <c r="S525" s="82"/>
      <c r="T525" s="82"/>
      <c r="U525" s="82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2"/>
      <c r="R526" s="82"/>
      <c r="S526" s="82"/>
      <c r="T526" s="82"/>
      <c r="U526" s="82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2"/>
      <c r="R527" s="82"/>
      <c r="S527" s="82"/>
      <c r="T527" s="82"/>
      <c r="U527" s="82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2"/>
      <c r="R528" s="82"/>
      <c r="S528" s="82"/>
      <c r="T528" s="82"/>
      <c r="U528" s="82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2"/>
      <c r="R529" s="82"/>
      <c r="S529" s="82"/>
      <c r="T529" s="82"/>
      <c r="U529" s="82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2"/>
      <c r="R530" s="82"/>
      <c r="S530" s="82"/>
      <c r="T530" s="82"/>
      <c r="U530" s="82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2"/>
      <c r="R531" s="82"/>
      <c r="S531" s="82"/>
      <c r="T531" s="82"/>
      <c r="U531" s="82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2"/>
      <c r="R532" s="82"/>
      <c r="S532" s="82"/>
      <c r="T532" s="82"/>
      <c r="U532" s="82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2"/>
      <c r="R533" s="82"/>
      <c r="S533" s="82"/>
      <c r="T533" s="82"/>
      <c r="U533" s="82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2"/>
      <c r="R534" s="82"/>
      <c r="S534" s="82"/>
      <c r="T534" s="82"/>
      <c r="U534" s="82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2"/>
      <c r="R535" s="82"/>
      <c r="S535" s="82"/>
      <c r="T535" s="82"/>
      <c r="U535" s="82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2"/>
      <c r="R536" s="82"/>
      <c r="S536" s="82"/>
      <c r="T536" s="82"/>
      <c r="U536" s="82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2"/>
      <c r="R537" s="82"/>
      <c r="S537" s="82"/>
      <c r="T537" s="82"/>
      <c r="U537" s="82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2"/>
      <c r="R538" s="82"/>
      <c r="S538" s="82"/>
      <c r="T538" s="82"/>
      <c r="U538" s="82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2"/>
      <c r="R539" s="82"/>
      <c r="S539" s="82"/>
      <c r="T539" s="82"/>
      <c r="U539" s="82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2"/>
      <c r="R540" s="82"/>
      <c r="S540" s="82"/>
      <c r="T540" s="82"/>
      <c r="U540" s="82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2"/>
      <c r="R541" s="82"/>
      <c r="S541" s="82"/>
      <c r="T541" s="82"/>
      <c r="U541" s="82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2"/>
      <c r="R542" s="82"/>
      <c r="S542" s="82"/>
      <c r="T542" s="82"/>
      <c r="U542" s="82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2"/>
      <c r="R543" s="82"/>
      <c r="S543" s="82"/>
      <c r="T543" s="82"/>
      <c r="U543" s="82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2"/>
      <c r="R544" s="82"/>
      <c r="S544" s="82"/>
      <c r="T544" s="82"/>
      <c r="U544" s="82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2"/>
      <c r="R545" s="82"/>
      <c r="S545" s="82"/>
      <c r="T545" s="82"/>
      <c r="U545" s="82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2"/>
      <c r="R546" s="82"/>
      <c r="S546" s="82"/>
      <c r="T546" s="82"/>
      <c r="U546" s="82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2"/>
      <c r="R547" s="82"/>
      <c r="S547" s="82"/>
      <c r="T547" s="82"/>
      <c r="U547" s="82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2"/>
      <c r="R548" s="82"/>
      <c r="S548" s="82"/>
      <c r="T548" s="82"/>
      <c r="U548" s="82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2"/>
      <c r="R549" s="82"/>
      <c r="S549" s="82"/>
      <c r="T549" s="82"/>
      <c r="U549" s="82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2"/>
      <c r="R550" s="82"/>
      <c r="S550" s="82"/>
      <c r="T550" s="82"/>
      <c r="U550" s="82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2"/>
      <c r="R551" s="82"/>
      <c r="S551" s="82"/>
      <c r="T551" s="82"/>
      <c r="U551" s="82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2"/>
      <c r="R552" s="82"/>
      <c r="S552" s="82"/>
      <c r="T552" s="82"/>
      <c r="U552" s="82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2"/>
      <c r="R553" s="82"/>
      <c r="S553" s="82"/>
      <c r="T553" s="82"/>
      <c r="U553" s="82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2"/>
      <c r="R554" s="82"/>
      <c r="S554" s="82"/>
      <c r="T554" s="82"/>
      <c r="U554" s="82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2"/>
      <c r="R555" s="82"/>
      <c r="S555" s="82"/>
      <c r="T555" s="82"/>
      <c r="U555" s="82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2"/>
      <c r="R556" s="82"/>
      <c r="S556" s="82"/>
      <c r="T556" s="82"/>
      <c r="U556" s="82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2"/>
      <c r="R557" s="82"/>
      <c r="S557" s="82"/>
      <c r="T557" s="82"/>
      <c r="U557" s="82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2"/>
      <c r="R558" s="82"/>
      <c r="S558" s="82"/>
      <c r="T558" s="82"/>
      <c r="U558" s="82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2"/>
      <c r="R559" s="82"/>
      <c r="S559" s="82"/>
      <c r="T559" s="82"/>
      <c r="U559" s="82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2"/>
      <c r="R560" s="82"/>
      <c r="S560" s="82"/>
      <c r="T560" s="82"/>
      <c r="U560" s="82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2"/>
      <c r="R561" s="82"/>
      <c r="S561" s="82"/>
      <c r="T561" s="82"/>
      <c r="U561" s="82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2"/>
      <c r="R562" s="82"/>
      <c r="S562" s="82"/>
      <c r="T562" s="82"/>
      <c r="U562" s="82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2"/>
      <c r="R563" s="82"/>
      <c r="S563" s="82"/>
      <c r="T563" s="82"/>
      <c r="U563" s="82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2"/>
      <c r="R564" s="82"/>
      <c r="S564" s="82"/>
      <c r="T564" s="82"/>
      <c r="U564" s="82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2"/>
      <c r="R565" s="82"/>
      <c r="S565" s="82"/>
      <c r="T565" s="82"/>
      <c r="U565" s="82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2"/>
      <c r="R566" s="82"/>
      <c r="S566" s="82"/>
      <c r="T566" s="82"/>
      <c r="U566" s="82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2"/>
      <c r="R567" s="82"/>
      <c r="S567" s="82"/>
      <c r="T567" s="82"/>
      <c r="U567" s="82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2"/>
      <c r="R568" s="82"/>
      <c r="S568" s="82"/>
      <c r="T568" s="82"/>
      <c r="U568" s="82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2"/>
      <c r="R569" s="82"/>
      <c r="S569" s="82"/>
      <c r="T569" s="82"/>
      <c r="U569" s="82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2"/>
      <c r="R570" s="82"/>
      <c r="S570" s="82"/>
      <c r="T570" s="82"/>
      <c r="U570" s="82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2"/>
      <c r="R571" s="82"/>
      <c r="S571" s="82"/>
      <c r="T571" s="82"/>
      <c r="U571" s="82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2"/>
      <c r="R572" s="82"/>
      <c r="S572" s="82"/>
      <c r="T572" s="82"/>
      <c r="U572" s="82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2"/>
      <c r="R573" s="82"/>
      <c r="S573" s="82"/>
      <c r="T573" s="82"/>
      <c r="U573" s="82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2"/>
      <c r="R574" s="82"/>
      <c r="S574" s="82"/>
      <c r="T574" s="82"/>
      <c r="U574" s="82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2"/>
      <c r="R575" s="82"/>
      <c r="S575" s="82"/>
      <c r="T575" s="82"/>
      <c r="U575" s="82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2"/>
      <c r="R576" s="82"/>
      <c r="S576" s="82"/>
      <c r="T576" s="82"/>
      <c r="U576" s="82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2"/>
      <c r="R577" s="82"/>
      <c r="S577" s="82"/>
      <c r="T577" s="82"/>
      <c r="U577" s="82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2"/>
      <c r="R578" s="82"/>
      <c r="S578" s="82"/>
      <c r="T578" s="82"/>
      <c r="U578" s="82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2"/>
      <c r="R579" s="82"/>
      <c r="S579" s="82"/>
      <c r="T579" s="82"/>
      <c r="U579" s="82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2"/>
      <c r="R580" s="82"/>
      <c r="S580" s="82"/>
      <c r="T580" s="82"/>
      <c r="U580" s="82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2"/>
      <c r="R581" s="82"/>
      <c r="S581" s="82"/>
      <c r="T581" s="82"/>
      <c r="U581" s="82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2"/>
      <c r="R582" s="82"/>
      <c r="S582" s="82"/>
      <c r="T582" s="82"/>
      <c r="U582" s="82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2"/>
      <c r="R583" s="82"/>
      <c r="S583" s="82"/>
      <c r="T583" s="82"/>
      <c r="U583" s="82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2"/>
      <c r="R584" s="82"/>
      <c r="S584" s="82"/>
      <c r="T584" s="82"/>
      <c r="U584" s="82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2"/>
      <c r="R585" s="82"/>
      <c r="S585" s="82"/>
      <c r="T585" s="82"/>
      <c r="U585" s="82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2"/>
      <c r="R586" s="82"/>
      <c r="S586" s="82"/>
      <c r="T586" s="82"/>
      <c r="U586" s="82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2"/>
      <c r="R587" s="82"/>
      <c r="S587" s="82"/>
      <c r="T587" s="82"/>
      <c r="U587" s="82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2"/>
      <c r="R588" s="82"/>
      <c r="S588" s="82"/>
      <c r="T588" s="82"/>
      <c r="U588" s="82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2"/>
      <c r="R589" s="82"/>
      <c r="S589" s="82"/>
      <c r="T589" s="82"/>
      <c r="U589" s="82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2"/>
      <c r="R590" s="82"/>
      <c r="S590" s="82"/>
      <c r="T590" s="82"/>
      <c r="U590" s="82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2"/>
      <c r="R591" s="82"/>
      <c r="S591" s="82"/>
      <c r="T591" s="82"/>
      <c r="U591" s="82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2"/>
      <c r="R592" s="82"/>
      <c r="S592" s="82"/>
      <c r="T592" s="82"/>
      <c r="U592" s="82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2"/>
      <c r="R593" s="82"/>
      <c r="S593" s="82"/>
      <c r="T593" s="82"/>
      <c r="U593" s="82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2"/>
      <c r="R594" s="82"/>
      <c r="S594" s="82"/>
      <c r="T594" s="82"/>
      <c r="U594" s="82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2"/>
      <c r="R595" s="82"/>
      <c r="S595" s="82"/>
      <c r="T595" s="82"/>
      <c r="U595" s="82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2"/>
      <c r="R596" s="82"/>
      <c r="S596" s="82"/>
      <c r="T596" s="82"/>
      <c r="U596" s="82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2"/>
      <c r="R597" s="82"/>
      <c r="S597" s="82"/>
      <c r="T597" s="82"/>
      <c r="U597" s="82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2"/>
      <c r="R598" s="82"/>
      <c r="S598" s="82"/>
      <c r="T598" s="82"/>
      <c r="U598" s="82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2"/>
      <c r="R599" s="82"/>
      <c r="S599" s="82"/>
      <c r="T599" s="82"/>
      <c r="U599" s="82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2"/>
      <c r="R600" s="82"/>
      <c r="S600" s="82"/>
      <c r="T600" s="82"/>
      <c r="U600" s="82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2"/>
      <c r="R601" s="82"/>
      <c r="S601" s="82"/>
      <c r="T601" s="82"/>
      <c r="U601" s="82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2"/>
      <c r="R602" s="82"/>
      <c r="S602" s="82"/>
      <c r="T602" s="82"/>
      <c r="U602" s="82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2"/>
      <c r="R603" s="82"/>
      <c r="S603" s="82"/>
      <c r="T603" s="82"/>
      <c r="U603" s="82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2"/>
      <c r="R604" s="82"/>
      <c r="S604" s="82"/>
      <c r="T604" s="82"/>
      <c r="U604" s="82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2"/>
      <c r="R605" s="82"/>
      <c r="S605" s="82"/>
      <c r="T605" s="82"/>
      <c r="U605" s="82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2"/>
      <c r="R606" s="82"/>
      <c r="S606" s="82"/>
      <c r="T606" s="82"/>
      <c r="U606" s="82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2"/>
      <c r="R607" s="82"/>
      <c r="S607" s="82"/>
      <c r="T607" s="82"/>
      <c r="U607" s="82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2"/>
      <c r="R608" s="82"/>
      <c r="S608" s="82"/>
      <c r="T608" s="82"/>
      <c r="U608" s="82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2"/>
      <c r="R609" s="82"/>
      <c r="S609" s="82"/>
      <c r="T609" s="82"/>
      <c r="U609" s="82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2"/>
      <c r="R610" s="82"/>
      <c r="S610" s="82"/>
      <c r="T610" s="82"/>
      <c r="U610" s="82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2"/>
      <c r="R611" s="82"/>
      <c r="S611" s="82"/>
      <c r="T611" s="82"/>
      <c r="U611" s="82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2"/>
      <c r="R612" s="82"/>
      <c r="S612" s="82"/>
      <c r="T612" s="82"/>
      <c r="U612" s="82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2"/>
      <c r="R613" s="82"/>
      <c r="S613" s="82"/>
      <c r="T613" s="82"/>
      <c r="U613" s="82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2"/>
      <c r="R614" s="82"/>
      <c r="S614" s="82"/>
      <c r="T614" s="82"/>
      <c r="U614" s="82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2"/>
      <c r="R615" s="82"/>
      <c r="S615" s="82"/>
      <c r="T615" s="82"/>
      <c r="U615" s="82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2"/>
      <c r="R616" s="82"/>
      <c r="S616" s="82"/>
      <c r="T616" s="82"/>
      <c r="U616" s="82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2"/>
      <c r="R617" s="82"/>
      <c r="S617" s="82"/>
      <c r="T617" s="82"/>
      <c r="U617" s="82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2"/>
      <c r="R618" s="82"/>
      <c r="S618" s="82"/>
      <c r="T618" s="82"/>
      <c r="U618" s="82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2"/>
      <c r="R619" s="82"/>
      <c r="S619" s="82"/>
      <c r="T619" s="82"/>
      <c r="U619" s="82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2"/>
      <c r="R620" s="82"/>
      <c r="S620" s="82"/>
      <c r="T620" s="82"/>
      <c r="U620" s="82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2"/>
      <c r="R621" s="82"/>
      <c r="S621" s="82"/>
      <c r="T621" s="82"/>
      <c r="U621" s="82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2"/>
      <c r="R622" s="82"/>
      <c r="S622" s="82"/>
      <c r="T622" s="82"/>
      <c r="U622" s="82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2"/>
      <c r="R623" s="82"/>
      <c r="S623" s="82"/>
      <c r="T623" s="82"/>
      <c r="U623" s="82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2"/>
      <c r="R624" s="82"/>
      <c r="S624" s="82"/>
      <c r="T624" s="82"/>
      <c r="U624" s="82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2"/>
      <c r="R625" s="82"/>
      <c r="S625" s="82"/>
      <c r="T625" s="82"/>
      <c r="U625" s="82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2"/>
      <c r="R626" s="82"/>
      <c r="S626" s="82"/>
      <c r="T626" s="82"/>
      <c r="U626" s="82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2"/>
      <c r="R627" s="82"/>
      <c r="S627" s="82"/>
      <c r="T627" s="82"/>
      <c r="U627" s="82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2"/>
      <c r="R628" s="82"/>
      <c r="S628" s="82"/>
      <c r="T628" s="82"/>
      <c r="U628" s="82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2"/>
      <c r="R629" s="82"/>
      <c r="S629" s="82"/>
      <c r="T629" s="82"/>
      <c r="U629" s="82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2"/>
      <c r="R630" s="82"/>
      <c r="S630" s="82"/>
      <c r="T630" s="82"/>
      <c r="U630" s="82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2"/>
      <c r="R631" s="82"/>
      <c r="S631" s="82"/>
      <c r="T631" s="82"/>
      <c r="U631" s="82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2"/>
      <c r="R632" s="82"/>
      <c r="S632" s="82"/>
      <c r="T632" s="82"/>
      <c r="U632" s="82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2"/>
      <c r="R633" s="82"/>
      <c r="S633" s="82"/>
      <c r="T633" s="82"/>
      <c r="U633" s="82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2"/>
      <c r="R634" s="82"/>
      <c r="S634" s="82"/>
      <c r="T634" s="82"/>
      <c r="U634" s="82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2"/>
      <c r="R635" s="82"/>
      <c r="S635" s="82"/>
      <c r="T635" s="82"/>
      <c r="U635" s="82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2"/>
      <c r="R636" s="82"/>
      <c r="S636" s="82"/>
      <c r="T636" s="82"/>
      <c r="U636" s="82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2"/>
      <c r="R637" s="82"/>
      <c r="S637" s="82"/>
      <c r="T637" s="82"/>
      <c r="U637" s="82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2"/>
      <c r="R638" s="82"/>
      <c r="S638" s="82"/>
      <c r="T638" s="82"/>
      <c r="U638" s="82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2"/>
      <c r="R639" s="82"/>
      <c r="S639" s="82"/>
      <c r="T639" s="82"/>
      <c r="U639" s="82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2"/>
      <c r="R640" s="82"/>
      <c r="S640" s="82"/>
      <c r="T640" s="82"/>
      <c r="U640" s="82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2"/>
      <c r="R641" s="82"/>
      <c r="S641" s="82"/>
      <c r="T641" s="82"/>
      <c r="U641" s="82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2"/>
      <c r="R642" s="82"/>
      <c r="S642" s="82"/>
      <c r="T642" s="82"/>
      <c r="U642" s="82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2"/>
      <c r="R643" s="82"/>
      <c r="S643" s="82"/>
      <c r="T643" s="82"/>
      <c r="U643" s="82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2"/>
      <c r="R644" s="82"/>
      <c r="S644" s="82"/>
      <c r="T644" s="82"/>
      <c r="U644" s="82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2"/>
      <c r="R645" s="82"/>
      <c r="S645" s="82"/>
      <c r="T645" s="82"/>
      <c r="U645" s="82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2"/>
      <c r="R646" s="82"/>
      <c r="S646" s="82"/>
      <c r="T646" s="82"/>
      <c r="U646" s="82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2"/>
      <c r="R647" s="82"/>
      <c r="S647" s="82"/>
      <c r="T647" s="82"/>
      <c r="U647" s="82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2"/>
      <c r="R648" s="82"/>
      <c r="S648" s="82"/>
      <c r="T648" s="82"/>
      <c r="U648" s="82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2"/>
      <c r="R649" s="82"/>
      <c r="S649" s="82"/>
      <c r="T649" s="82"/>
      <c r="U649" s="82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2"/>
      <c r="R650" s="82"/>
      <c r="S650" s="82"/>
      <c r="T650" s="82"/>
      <c r="U650" s="82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2"/>
      <c r="R651" s="82"/>
      <c r="S651" s="82"/>
      <c r="T651" s="82"/>
      <c r="U651" s="82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2"/>
      <c r="R652" s="82"/>
      <c r="S652" s="82"/>
      <c r="T652" s="82"/>
      <c r="U652" s="82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2"/>
      <c r="R653" s="82"/>
      <c r="S653" s="82"/>
      <c r="T653" s="82"/>
      <c r="U653" s="82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2"/>
      <c r="R654" s="82"/>
      <c r="S654" s="82"/>
      <c r="T654" s="82"/>
      <c r="U654" s="82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2"/>
      <c r="R655" s="82"/>
      <c r="S655" s="82"/>
      <c r="T655" s="82"/>
      <c r="U655" s="82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2"/>
      <c r="R656" s="82"/>
      <c r="S656" s="82"/>
      <c r="T656" s="82"/>
      <c r="U656" s="82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2"/>
      <c r="R657" s="82"/>
      <c r="S657" s="82"/>
      <c r="T657" s="82"/>
      <c r="U657" s="82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2"/>
      <c r="R658" s="82"/>
      <c r="S658" s="82"/>
      <c r="T658" s="82"/>
      <c r="U658" s="82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2"/>
      <c r="R659" s="82"/>
      <c r="S659" s="82"/>
      <c r="T659" s="82"/>
      <c r="U659" s="82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2"/>
      <c r="R660" s="82"/>
      <c r="S660" s="82"/>
      <c r="T660" s="82"/>
      <c r="U660" s="82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2"/>
      <c r="R661" s="82"/>
      <c r="S661" s="82"/>
      <c r="T661" s="82"/>
      <c r="U661" s="82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2"/>
      <c r="R662" s="82"/>
      <c r="S662" s="82"/>
      <c r="T662" s="82"/>
      <c r="U662" s="82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2"/>
      <c r="R663" s="82"/>
      <c r="S663" s="82"/>
      <c r="T663" s="82"/>
      <c r="U663" s="82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2"/>
      <c r="R664" s="82"/>
      <c r="S664" s="82"/>
      <c r="T664" s="82"/>
      <c r="U664" s="82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2"/>
      <c r="R665" s="82"/>
      <c r="S665" s="82"/>
      <c r="T665" s="82"/>
      <c r="U665" s="82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2"/>
      <c r="R666" s="82"/>
      <c r="S666" s="82"/>
      <c r="T666" s="82"/>
      <c r="U666" s="82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2"/>
      <c r="R667" s="82"/>
      <c r="S667" s="82"/>
      <c r="T667" s="82"/>
      <c r="U667" s="82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2"/>
      <c r="R668" s="82"/>
      <c r="S668" s="82"/>
      <c r="T668" s="82"/>
      <c r="U668" s="82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2"/>
      <c r="R669" s="82"/>
      <c r="S669" s="82"/>
      <c r="T669" s="82"/>
      <c r="U669" s="82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2"/>
      <c r="R670" s="82"/>
      <c r="S670" s="82"/>
      <c r="T670" s="82"/>
      <c r="U670" s="82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2"/>
      <c r="R671" s="82"/>
      <c r="S671" s="82"/>
      <c r="T671" s="82"/>
      <c r="U671" s="82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2"/>
      <c r="R672" s="82"/>
      <c r="S672" s="82"/>
      <c r="T672" s="82"/>
      <c r="U672" s="82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2"/>
      <c r="R673" s="82"/>
      <c r="S673" s="82"/>
      <c r="T673" s="82"/>
      <c r="U673" s="82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2"/>
      <c r="R674" s="82"/>
      <c r="S674" s="82"/>
      <c r="T674" s="82"/>
      <c r="U674" s="82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2"/>
      <c r="R675" s="82"/>
      <c r="S675" s="82"/>
      <c r="T675" s="82"/>
      <c r="U675" s="82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2"/>
      <c r="R676" s="82"/>
      <c r="S676" s="82"/>
      <c r="T676" s="82"/>
      <c r="U676" s="82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2"/>
      <c r="R677" s="82"/>
      <c r="S677" s="82"/>
      <c r="T677" s="82"/>
      <c r="U677" s="82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2"/>
      <c r="R678" s="82"/>
      <c r="S678" s="82"/>
      <c r="T678" s="82"/>
      <c r="U678" s="82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2"/>
      <c r="R679" s="82"/>
      <c r="S679" s="82"/>
      <c r="T679" s="82"/>
      <c r="U679" s="82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2"/>
      <c r="R680" s="82"/>
      <c r="S680" s="82"/>
      <c r="T680" s="82"/>
      <c r="U680" s="82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2"/>
      <c r="R681" s="82"/>
      <c r="S681" s="82"/>
      <c r="T681" s="82"/>
      <c r="U681" s="82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2"/>
      <c r="R682" s="82"/>
      <c r="S682" s="82"/>
      <c r="T682" s="82"/>
      <c r="U682" s="82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2"/>
      <c r="R683" s="82"/>
      <c r="S683" s="82"/>
      <c r="T683" s="82"/>
      <c r="U683" s="82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2"/>
      <c r="R684" s="82"/>
      <c r="S684" s="82"/>
      <c r="T684" s="82"/>
      <c r="U684" s="82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2"/>
      <c r="R685" s="82"/>
      <c r="S685" s="82"/>
      <c r="T685" s="82"/>
      <c r="U685" s="82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2"/>
      <c r="R686" s="82"/>
      <c r="S686" s="82"/>
      <c r="T686" s="82"/>
      <c r="U686" s="82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2"/>
      <c r="R687" s="82"/>
      <c r="S687" s="82"/>
      <c r="T687" s="82"/>
      <c r="U687" s="82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2"/>
      <c r="R688" s="82"/>
      <c r="S688" s="82"/>
      <c r="T688" s="82"/>
      <c r="U688" s="82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2"/>
      <c r="R689" s="82"/>
      <c r="S689" s="82"/>
      <c r="T689" s="82"/>
      <c r="U689" s="82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2"/>
      <c r="R690" s="82"/>
      <c r="S690" s="82"/>
      <c r="T690" s="82"/>
      <c r="U690" s="82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2"/>
      <c r="R691" s="82"/>
      <c r="S691" s="82"/>
      <c r="T691" s="82"/>
      <c r="U691" s="82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2"/>
      <c r="R692" s="82"/>
      <c r="S692" s="82"/>
      <c r="T692" s="82"/>
      <c r="U692" s="82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2"/>
      <c r="R693" s="82"/>
      <c r="S693" s="82"/>
      <c r="T693" s="82"/>
      <c r="U693" s="82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2"/>
      <c r="R694" s="82"/>
      <c r="S694" s="82"/>
      <c r="T694" s="82"/>
      <c r="U694" s="82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2"/>
      <c r="R695" s="82"/>
      <c r="S695" s="82"/>
      <c r="T695" s="82"/>
      <c r="U695" s="82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2"/>
      <c r="R696" s="82"/>
      <c r="S696" s="82"/>
      <c r="T696" s="82"/>
      <c r="U696" s="82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2"/>
      <c r="R697" s="82"/>
      <c r="S697" s="82"/>
      <c r="T697" s="82"/>
      <c r="U697" s="82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2"/>
      <c r="R698" s="82"/>
      <c r="S698" s="82"/>
      <c r="T698" s="82"/>
      <c r="U698" s="82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2"/>
      <c r="R699" s="82"/>
      <c r="S699" s="82"/>
      <c r="T699" s="82"/>
      <c r="U699" s="82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2"/>
      <c r="R700" s="82"/>
      <c r="S700" s="82"/>
      <c r="T700" s="82"/>
      <c r="U700" s="82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2"/>
      <c r="R701" s="82"/>
      <c r="S701" s="82"/>
      <c r="T701" s="82"/>
      <c r="U701" s="82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2"/>
      <c r="R702" s="82"/>
      <c r="S702" s="82"/>
      <c r="T702" s="82"/>
      <c r="U702" s="82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2"/>
      <c r="R703" s="82"/>
      <c r="S703" s="82"/>
      <c r="T703" s="82"/>
      <c r="U703" s="82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2"/>
      <c r="R704" s="82"/>
      <c r="S704" s="82"/>
      <c r="T704" s="82"/>
      <c r="U704" s="82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2"/>
      <c r="R705" s="82"/>
      <c r="S705" s="82"/>
      <c r="T705" s="82"/>
      <c r="U705" s="82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2"/>
      <c r="R706" s="82"/>
      <c r="S706" s="82"/>
      <c r="T706" s="82"/>
      <c r="U706" s="82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2"/>
      <c r="R707" s="82"/>
      <c r="S707" s="82"/>
      <c r="T707" s="82"/>
      <c r="U707" s="82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2"/>
      <c r="R708" s="82"/>
      <c r="S708" s="82"/>
      <c r="T708" s="82"/>
      <c r="U708" s="82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2"/>
      <c r="R709" s="82"/>
      <c r="S709" s="82"/>
      <c r="T709" s="82"/>
      <c r="U709" s="82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2"/>
      <c r="R710" s="82"/>
      <c r="S710" s="82"/>
      <c r="T710" s="82"/>
      <c r="U710" s="82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2"/>
      <c r="R711" s="82"/>
      <c r="S711" s="82"/>
      <c r="T711" s="82"/>
      <c r="U711" s="82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2"/>
      <c r="R712" s="82"/>
      <c r="S712" s="82"/>
      <c r="T712" s="82"/>
      <c r="U712" s="82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2"/>
      <c r="R713" s="82"/>
      <c r="S713" s="82"/>
      <c r="T713" s="82"/>
      <c r="U713" s="82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2"/>
      <c r="R714" s="82"/>
      <c r="S714" s="82"/>
      <c r="T714" s="82"/>
      <c r="U714" s="82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2"/>
      <c r="R715" s="82"/>
      <c r="S715" s="82"/>
      <c r="T715" s="82"/>
      <c r="U715" s="82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2"/>
      <c r="R716" s="82"/>
      <c r="S716" s="82"/>
      <c r="T716" s="82"/>
      <c r="U716" s="82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2"/>
      <c r="R717" s="82"/>
      <c r="S717" s="82"/>
      <c r="T717" s="82"/>
      <c r="U717" s="82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2"/>
      <c r="R718" s="82"/>
      <c r="S718" s="82"/>
      <c r="T718" s="82"/>
      <c r="U718" s="82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2"/>
      <c r="R719" s="82"/>
      <c r="S719" s="82"/>
      <c r="T719" s="82"/>
      <c r="U719" s="82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2"/>
      <c r="R720" s="82"/>
      <c r="S720" s="82"/>
      <c r="T720" s="82"/>
      <c r="U720" s="82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2"/>
      <c r="R721" s="82"/>
      <c r="S721" s="82"/>
      <c r="T721" s="82"/>
      <c r="U721" s="82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2"/>
      <c r="R722" s="82"/>
      <c r="S722" s="82"/>
      <c r="T722" s="82"/>
      <c r="U722" s="82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2"/>
      <c r="R723" s="82"/>
      <c r="S723" s="82"/>
      <c r="T723" s="82"/>
      <c r="U723" s="82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2"/>
      <c r="R724" s="82"/>
      <c r="S724" s="82"/>
      <c r="T724" s="82"/>
      <c r="U724" s="82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2"/>
      <c r="R725" s="82"/>
      <c r="S725" s="82"/>
      <c r="T725" s="82"/>
      <c r="U725" s="82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2"/>
      <c r="R726" s="82"/>
      <c r="S726" s="82"/>
      <c r="T726" s="82"/>
      <c r="U726" s="82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2"/>
      <c r="R727" s="82"/>
      <c r="S727" s="82"/>
      <c r="T727" s="82"/>
      <c r="U727" s="82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2"/>
      <c r="R728" s="82"/>
      <c r="S728" s="82"/>
      <c r="T728" s="82"/>
      <c r="U728" s="82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2"/>
      <c r="R729" s="82"/>
      <c r="S729" s="82"/>
      <c r="T729" s="82"/>
      <c r="U729" s="82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2"/>
      <c r="R730" s="82"/>
      <c r="S730" s="82"/>
      <c r="T730" s="82"/>
      <c r="U730" s="82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2"/>
      <c r="R731" s="82"/>
      <c r="S731" s="82"/>
      <c r="T731" s="82"/>
      <c r="U731" s="82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2"/>
      <c r="R732" s="82"/>
      <c r="S732" s="82"/>
      <c r="T732" s="82"/>
      <c r="U732" s="82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2"/>
      <c r="R733" s="82"/>
      <c r="S733" s="82"/>
      <c r="T733" s="82"/>
      <c r="U733" s="82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2"/>
      <c r="R734" s="82"/>
      <c r="S734" s="82"/>
      <c r="T734" s="82"/>
      <c r="U734" s="82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2"/>
      <c r="R735" s="82"/>
      <c r="S735" s="82"/>
      <c r="T735" s="82"/>
      <c r="U735" s="82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2"/>
      <c r="R736" s="82"/>
      <c r="S736" s="82"/>
      <c r="T736" s="82"/>
      <c r="U736" s="82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2"/>
      <c r="R737" s="82"/>
      <c r="S737" s="82"/>
      <c r="T737" s="82"/>
      <c r="U737" s="82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2"/>
      <c r="R738" s="82"/>
      <c r="S738" s="82"/>
      <c r="T738" s="82"/>
      <c r="U738" s="82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2"/>
      <c r="R739" s="82"/>
      <c r="S739" s="82"/>
      <c r="T739" s="82"/>
      <c r="U739" s="82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2"/>
      <c r="R740" s="82"/>
      <c r="S740" s="82"/>
      <c r="T740" s="82"/>
      <c r="U740" s="82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2"/>
      <c r="R741" s="82"/>
      <c r="S741" s="82"/>
      <c r="T741" s="82"/>
      <c r="U741" s="82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2"/>
      <c r="R742" s="82"/>
      <c r="S742" s="82"/>
      <c r="T742" s="82"/>
      <c r="U742" s="82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2"/>
      <c r="R743" s="82"/>
      <c r="S743" s="82"/>
      <c r="T743" s="82"/>
      <c r="U743" s="82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2"/>
      <c r="R744" s="82"/>
      <c r="S744" s="82"/>
      <c r="T744" s="82"/>
      <c r="U744" s="82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2"/>
      <c r="R745" s="82"/>
      <c r="S745" s="82"/>
      <c r="T745" s="82"/>
      <c r="U745" s="82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2"/>
      <c r="R746" s="82"/>
      <c r="S746" s="82"/>
      <c r="T746" s="82"/>
      <c r="U746" s="82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2"/>
      <c r="R747" s="82"/>
      <c r="S747" s="82"/>
      <c r="T747" s="82"/>
      <c r="U747" s="82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2"/>
      <c r="R748" s="82"/>
      <c r="S748" s="82"/>
      <c r="T748" s="82"/>
      <c r="U748" s="82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2"/>
      <c r="R749" s="82"/>
      <c r="S749" s="82"/>
      <c r="T749" s="82"/>
      <c r="U749" s="82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2"/>
      <c r="R750" s="82"/>
      <c r="S750" s="82"/>
      <c r="T750" s="82"/>
      <c r="U750" s="82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2"/>
      <c r="R751" s="82"/>
      <c r="S751" s="82"/>
      <c r="T751" s="82"/>
      <c r="U751" s="82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2"/>
      <c r="R752" s="82"/>
      <c r="S752" s="82"/>
      <c r="T752" s="82"/>
      <c r="U752" s="82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2"/>
      <c r="R753" s="82"/>
      <c r="S753" s="82"/>
      <c r="T753" s="82"/>
      <c r="U753" s="82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2"/>
      <c r="R754" s="82"/>
      <c r="S754" s="82"/>
      <c r="T754" s="82"/>
      <c r="U754" s="82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2"/>
      <c r="R755" s="82"/>
      <c r="S755" s="82"/>
      <c r="T755" s="82"/>
      <c r="U755" s="82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2"/>
      <c r="R756" s="82"/>
      <c r="S756" s="82"/>
      <c r="T756" s="82"/>
      <c r="U756" s="82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2"/>
      <c r="R757" s="82"/>
      <c r="S757" s="82"/>
      <c r="T757" s="82"/>
      <c r="U757" s="82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2"/>
      <c r="R758" s="82"/>
      <c r="S758" s="82"/>
      <c r="T758" s="82"/>
      <c r="U758" s="82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2"/>
      <c r="R759" s="82"/>
      <c r="S759" s="82"/>
      <c r="T759" s="82"/>
      <c r="U759" s="82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2"/>
      <c r="R760" s="82"/>
      <c r="S760" s="82"/>
      <c r="T760" s="82"/>
      <c r="U760" s="82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2"/>
      <c r="R761" s="82"/>
      <c r="S761" s="82"/>
      <c r="T761" s="82"/>
      <c r="U761" s="82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2"/>
      <c r="R762" s="82"/>
      <c r="S762" s="82"/>
      <c r="T762" s="82"/>
      <c r="U762" s="82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2"/>
      <c r="R763" s="82"/>
      <c r="S763" s="82"/>
      <c r="T763" s="82"/>
      <c r="U763" s="82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2"/>
      <c r="R764" s="82"/>
      <c r="S764" s="82"/>
      <c r="T764" s="82"/>
      <c r="U764" s="82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2"/>
      <c r="R765" s="82"/>
      <c r="S765" s="82"/>
      <c r="T765" s="82"/>
      <c r="U765" s="82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2"/>
      <c r="R766" s="82"/>
      <c r="S766" s="82"/>
      <c r="T766" s="82"/>
      <c r="U766" s="82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2"/>
      <c r="R767" s="82"/>
      <c r="S767" s="82"/>
      <c r="T767" s="82"/>
      <c r="U767" s="82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2"/>
      <c r="R768" s="82"/>
      <c r="S768" s="82"/>
      <c r="T768" s="82"/>
      <c r="U768" s="82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2"/>
      <c r="R769" s="82"/>
      <c r="S769" s="82"/>
      <c r="T769" s="82"/>
      <c r="U769" s="82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2"/>
      <c r="R770" s="82"/>
      <c r="S770" s="82"/>
      <c r="T770" s="82"/>
      <c r="U770" s="82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2"/>
      <c r="R771" s="82"/>
      <c r="S771" s="82"/>
      <c r="T771" s="82"/>
      <c r="U771" s="82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2"/>
      <c r="R772" s="82"/>
      <c r="S772" s="82"/>
      <c r="T772" s="82"/>
      <c r="U772" s="82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2"/>
      <c r="R773" s="82"/>
      <c r="S773" s="82"/>
      <c r="T773" s="82"/>
      <c r="U773" s="82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2"/>
      <c r="R774" s="82"/>
      <c r="S774" s="82"/>
      <c r="T774" s="82"/>
      <c r="U774" s="82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2"/>
      <c r="R775" s="82"/>
      <c r="S775" s="82"/>
      <c r="T775" s="82"/>
      <c r="U775" s="82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2"/>
      <c r="R776" s="82"/>
      <c r="S776" s="82"/>
      <c r="T776" s="82"/>
      <c r="U776" s="82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2"/>
      <c r="R777" s="82"/>
      <c r="S777" s="82"/>
      <c r="T777" s="82"/>
      <c r="U777" s="82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2"/>
      <c r="R778" s="82"/>
      <c r="S778" s="82"/>
      <c r="T778" s="82"/>
      <c r="U778" s="82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2"/>
      <c r="R779" s="82"/>
      <c r="S779" s="82"/>
      <c r="T779" s="82"/>
      <c r="U779" s="82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2"/>
      <c r="R780" s="82"/>
      <c r="S780" s="82"/>
      <c r="T780" s="82"/>
      <c r="U780" s="82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2"/>
      <c r="R781" s="82"/>
      <c r="S781" s="82"/>
      <c r="T781" s="82"/>
      <c r="U781" s="82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2"/>
      <c r="R782" s="82"/>
      <c r="S782" s="82"/>
      <c r="T782" s="82"/>
      <c r="U782" s="82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2"/>
      <c r="R783" s="82"/>
      <c r="S783" s="82"/>
      <c r="T783" s="82"/>
      <c r="U783" s="82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2"/>
      <c r="R784" s="82"/>
      <c r="S784" s="82"/>
      <c r="T784" s="82"/>
      <c r="U784" s="82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2"/>
      <c r="R785" s="82"/>
      <c r="S785" s="82"/>
      <c r="T785" s="82"/>
      <c r="U785" s="82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2"/>
      <c r="R786" s="82"/>
      <c r="S786" s="82"/>
      <c r="T786" s="82"/>
      <c r="U786" s="82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2"/>
      <c r="R787" s="82"/>
      <c r="S787" s="82"/>
      <c r="T787" s="82"/>
      <c r="U787" s="82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2"/>
      <c r="R788" s="82"/>
      <c r="S788" s="82"/>
      <c r="T788" s="82"/>
      <c r="U788" s="82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2"/>
      <c r="R789" s="82"/>
      <c r="S789" s="82"/>
      <c r="T789" s="82"/>
      <c r="U789" s="82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2"/>
      <c r="R790" s="82"/>
      <c r="S790" s="82"/>
      <c r="T790" s="82"/>
      <c r="U790" s="82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2"/>
      <c r="R791" s="82"/>
      <c r="S791" s="82"/>
      <c r="T791" s="82"/>
      <c r="U791" s="82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2"/>
      <c r="R792" s="82"/>
      <c r="S792" s="82"/>
      <c r="T792" s="82"/>
      <c r="U792" s="82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2"/>
      <c r="R793" s="82"/>
      <c r="S793" s="82"/>
      <c r="T793" s="82"/>
      <c r="U793" s="82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2"/>
      <c r="R794" s="82"/>
      <c r="S794" s="82"/>
      <c r="T794" s="82"/>
      <c r="U794" s="82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2"/>
      <c r="R795" s="82"/>
      <c r="S795" s="82"/>
      <c r="T795" s="82"/>
      <c r="U795" s="82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2"/>
      <c r="R796" s="82"/>
      <c r="S796" s="82"/>
      <c r="T796" s="82"/>
      <c r="U796" s="82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2"/>
      <c r="R797" s="82"/>
      <c r="S797" s="82"/>
      <c r="T797" s="82"/>
      <c r="U797" s="82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2"/>
      <c r="R798" s="82"/>
      <c r="S798" s="82"/>
      <c r="T798" s="82"/>
      <c r="U798" s="82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2"/>
      <c r="R799" s="82"/>
      <c r="S799" s="82"/>
      <c r="T799" s="82"/>
      <c r="U799" s="82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2"/>
      <c r="R800" s="82"/>
      <c r="S800" s="82"/>
      <c r="T800" s="82"/>
      <c r="U800" s="82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2"/>
      <c r="R801" s="82"/>
      <c r="S801" s="82"/>
      <c r="T801" s="82"/>
      <c r="U801" s="82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2"/>
      <c r="R802" s="82"/>
      <c r="S802" s="82"/>
      <c r="T802" s="82"/>
      <c r="U802" s="82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2"/>
      <c r="R803" s="82"/>
      <c r="S803" s="82"/>
      <c r="T803" s="82"/>
      <c r="U803" s="82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2"/>
      <c r="R804" s="82"/>
      <c r="S804" s="82"/>
      <c r="T804" s="82"/>
      <c r="U804" s="82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2"/>
      <c r="R805" s="82"/>
      <c r="S805" s="82"/>
      <c r="T805" s="82"/>
      <c r="U805" s="82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2"/>
      <c r="R806" s="82"/>
      <c r="S806" s="82"/>
      <c r="T806" s="82"/>
      <c r="U806" s="82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2"/>
      <c r="R807" s="82"/>
      <c r="S807" s="82"/>
      <c r="T807" s="82"/>
      <c r="U807" s="82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2"/>
      <c r="R808" s="82"/>
      <c r="S808" s="82"/>
      <c r="T808" s="82"/>
      <c r="U808" s="82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2"/>
      <c r="R809" s="82"/>
      <c r="S809" s="82"/>
      <c r="T809" s="82"/>
      <c r="U809" s="82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2"/>
      <c r="R810" s="82"/>
      <c r="S810" s="82"/>
      <c r="T810" s="82"/>
      <c r="U810" s="82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2"/>
      <c r="R811" s="82"/>
      <c r="S811" s="82"/>
      <c r="T811" s="82"/>
      <c r="U811" s="82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2"/>
      <c r="R812" s="82"/>
      <c r="S812" s="82"/>
      <c r="T812" s="82"/>
      <c r="U812" s="82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2"/>
      <c r="R813" s="82"/>
      <c r="S813" s="82"/>
      <c r="T813" s="82"/>
      <c r="U813" s="82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2"/>
      <c r="R814" s="82"/>
      <c r="S814" s="82"/>
      <c r="T814" s="82"/>
      <c r="U814" s="82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2"/>
      <c r="R815" s="82"/>
      <c r="S815" s="82"/>
      <c r="T815" s="82"/>
      <c r="U815" s="82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2"/>
      <c r="R816" s="82"/>
      <c r="S816" s="82"/>
      <c r="T816" s="82"/>
      <c r="U816" s="82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2"/>
      <c r="R817" s="82"/>
      <c r="S817" s="82"/>
      <c r="T817" s="82"/>
      <c r="U817" s="82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2"/>
      <c r="R818" s="82"/>
      <c r="S818" s="82"/>
      <c r="T818" s="82"/>
      <c r="U818" s="82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2"/>
      <c r="R819" s="82"/>
      <c r="S819" s="82"/>
      <c r="T819" s="82"/>
      <c r="U819" s="82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2"/>
      <c r="R820" s="82"/>
      <c r="S820" s="82"/>
      <c r="T820" s="82"/>
      <c r="U820" s="82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2"/>
      <c r="R821" s="82"/>
      <c r="S821" s="82"/>
      <c r="T821" s="82"/>
      <c r="U821" s="82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2"/>
      <c r="R822" s="82"/>
      <c r="S822" s="82"/>
      <c r="T822" s="82"/>
      <c r="U822" s="82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2"/>
      <c r="R823" s="82"/>
      <c r="S823" s="82"/>
      <c r="T823" s="82"/>
      <c r="U823" s="82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2"/>
      <c r="R824" s="82"/>
      <c r="S824" s="82"/>
      <c r="T824" s="82"/>
      <c r="U824" s="82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2"/>
      <c r="R825" s="82"/>
      <c r="S825" s="82"/>
      <c r="T825" s="82"/>
      <c r="U825" s="82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2"/>
      <c r="R826" s="82"/>
      <c r="S826" s="82"/>
      <c r="T826" s="82"/>
      <c r="U826" s="82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2"/>
      <c r="R827" s="82"/>
      <c r="S827" s="82"/>
      <c r="T827" s="82"/>
      <c r="U827" s="82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2"/>
      <c r="R828" s="82"/>
      <c r="S828" s="82"/>
      <c r="T828" s="82"/>
      <c r="U828" s="82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2"/>
      <c r="R829" s="82"/>
      <c r="S829" s="82"/>
      <c r="T829" s="82"/>
      <c r="U829" s="82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2"/>
      <c r="R830" s="82"/>
      <c r="S830" s="82"/>
      <c r="T830" s="82"/>
      <c r="U830" s="82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2"/>
      <c r="R831" s="82"/>
      <c r="S831" s="82"/>
      <c r="T831" s="82"/>
      <c r="U831" s="82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2"/>
      <c r="R832" s="82"/>
      <c r="S832" s="82"/>
      <c r="T832" s="82"/>
      <c r="U832" s="82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2"/>
      <c r="R833" s="82"/>
      <c r="S833" s="82"/>
      <c r="T833" s="82"/>
      <c r="U833" s="82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2"/>
      <c r="R834" s="82"/>
      <c r="S834" s="82"/>
      <c r="T834" s="82"/>
      <c r="U834" s="82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2"/>
      <c r="R835" s="82"/>
      <c r="S835" s="82"/>
      <c r="T835" s="82"/>
      <c r="U835" s="82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2"/>
      <c r="R836" s="82"/>
      <c r="S836" s="82"/>
      <c r="T836" s="82"/>
      <c r="U836" s="82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2"/>
      <c r="R837" s="82"/>
      <c r="S837" s="82"/>
      <c r="T837" s="82"/>
      <c r="U837" s="82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2"/>
      <c r="R838" s="82"/>
      <c r="S838" s="82"/>
      <c r="T838" s="82"/>
      <c r="U838" s="82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2"/>
      <c r="R839" s="82"/>
      <c r="S839" s="82"/>
      <c r="T839" s="82"/>
      <c r="U839" s="82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2"/>
      <c r="R840" s="82"/>
      <c r="S840" s="82"/>
      <c r="T840" s="82"/>
      <c r="U840" s="82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2"/>
      <c r="R841" s="82"/>
      <c r="S841" s="82"/>
      <c r="T841" s="82"/>
      <c r="U841" s="82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2"/>
      <c r="R842" s="82"/>
      <c r="S842" s="82"/>
      <c r="T842" s="82"/>
      <c r="U842" s="82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2"/>
      <c r="R843" s="82"/>
      <c r="S843" s="82"/>
      <c r="T843" s="82"/>
      <c r="U843" s="82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2"/>
      <c r="R844" s="82"/>
      <c r="S844" s="82"/>
      <c r="T844" s="82"/>
      <c r="U844" s="82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2"/>
      <c r="R845" s="82"/>
      <c r="S845" s="82"/>
      <c r="T845" s="82"/>
      <c r="U845" s="82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2"/>
      <c r="R846" s="82"/>
      <c r="S846" s="82"/>
      <c r="T846" s="82"/>
      <c r="U846" s="82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2"/>
      <c r="R847" s="82"/>
      <c r="S847" s="82"/>
      <c r="T847" s="82"/>
      <c r="U847" s="82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2"/>
      <c r="R848" s="82"/>
      <c r="S848" s="82"/>
      <c r="T848" s="82"/>
      <c r="U848" s="82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2"/>
      <c r="R849" s="82"/>
      <c r="S849" s="82"/>
      <c r="T849" s="82"/>
      <c r="U849" s="82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2"/>
      <c r="R850" s="82"/>
      <c r="S850" s="82"/>
      <c r="T850" s="82"/>
      <c r="U850" s="82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2"/>
      <c r="R851" s="82"/>
      <c r="S851" s="82"/>
      <c r="T851" s="82"/>
      <c r="U851" s="82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2"/>
      <c r="R852" s="82"/>
      <c r="S852" s="82"/>
      <c r="T852" s="82"/>
      <c r="U852" s="82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2"/>
      <c r="R853" s="82"/>
      <c r="S853" s="82"/>
      <c r="T853" s="82"/>
      <c r="U853" s="82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2"/>
      <c r="R854" s="82"/>
      <c r="S854" s="82"/>
      <c r="T854" s="82"/>
      <c r="U854" s="82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2"/>
      <c r="R855" s="82"/>
      <c r="S855" s="82"/>
      <c r="T855" s="82"/>
      <c r="U855" s="82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2"/>
      <c r="R856" s="82"/>
      <c r="S856" s="82"/>
      <c r="T856" s="82"/>
      <c r="U856" s="82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2"/>
      <c r="R857" s="82"/>
      <c r="S857" s="82"/>
      <c r="T857" s="82"/>
      <c r="U857" s="82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2"/>
      <c r="R858" s="82"/>
      <c r="S858" s="82"/>
      <c r="T858" s="82"/>
      <c r="U858" s="82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2"/>
      <c r="R859" s="82"/>
      <c r="S859" s="82"/>
      <c r="T859" s="82"/>
      <c r="U859" s="82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2"/>
      <c r="R860" s="82"/>
      <c r="S860" s="82"/>
      <c r="T860" s="82"/>
      <c r="U860" s="82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2"/>
      <c r="R861" s="82"/>
      <c r="S861" s="82"/>
      <c r="T861" s="82"/>
      <c r="U861" s="82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2"/>
      <c r="R862" s="82"/>
      <c r="S862" s="82"/>
      <c r="T862" s="82"/>
      <c r="U862" s="82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2"/>
      <c r="R863" s="82"/>
      <c r="S863" s="82"/>
      <c r="T863" s="82"/>
      <c r="U863" s="82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2"/>
      <c r="R864" s="82"/>
      <c r="S864" s="82"/>
      <c r="T864" s="82"/>
      <c r="U864" s="82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2"/>
      <c r="R865" s="82"/>
      <c r="S865" s="82"/>
      <c r="T865" s="82"/>
      <c r="U865" s="82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2"/>
      <c r="R866" s="82"/>
      <c r="S866" s="82"/>
      <c r="T866" s="82"/>
      <c r="U866" s="82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2"/>
      <c r="R867" s="82"/>
      <c r="S867" s="82"/>
      <c r="T867" s="82"/>
      <c r="U867" s="82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2"/>
      <c r="R868" s="82"/>
      <c r="S868" s="82"/>
      <c r="T868" s="82"/>
      <c r="U868" s="82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2"/>
      <c r="R869" s="82"/>
      <c r="S869" s="82"/>
      <c r="T869" s="82"/>
      <c r="U869" s="82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2"/>
      <c r="R870" s="82"/>
      <c r="S870" s="82"/>
      <c r="T870" s="82"/>
      <c r="U870" s="82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2"/>
      <c r="R871" s="82"/>
      <c r="S871" s="82"/>
      <c r="T871" s="82"/>
      <c r="U871" s="82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2"/>
      <c r="R872" s="82"/>
      <c r="S872" s="82"/>
      <c r="T872" s="82"/>
      <c r="U872" s="82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2"/>
      <c r="R873" s="82"/>
      <c r="S873" s="82"/>
      <c r="T873" s="82"/>
      <c r="U873" s="82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2"/>
      <c r="R874" s="82"/>
      <c r="S874" s="82"/>
      <c r="T874" s="82"/>
      <c r="U874" s="82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2"/>
      <c r="R875" s="82"/>
      <c r="S875" s="82"/>
      <c r="T875" s="82"/>
      <c r="U875" s="82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2"/>
      <c r="R876" s="82"/>
      <c r="S876" s="82"/>
      <c r="T876" s="82"/>
      <c r="U876" s="82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2"/>
      <c r="R877" s="82"/>
      <c r="S877" s="82"/>
      <c r="T877" s="82"/>
      <c r="U877" s="82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2"/>
      <c r="R878" s="82"/>
      <c r="S878" s="82"/>
      <c r="T878" s="82"/>
      <c r="U878" s="82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2"/>
      <c r="R879" s="82"/>
      <c r="S879" s="82"/>
      <c r="T879" s="82"/>
      <c r="U879" s="82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2"/>
      <c r="R880" s="82"/>
      <c r="S880" s="82"/>
      <c r="T880" s="82"/>
      <c r="U880" s="82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2"/>
      <c r="R881" s="82"/>
      <c r="S881" s="82"/>
      <c r="T881" s="82"/>
      <c r="U881" s="82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2"/>
      <c r="R882" s="82"/>
      <c r="S882" s="82"/>
      <c r="T882" s="82"/>
      <c r="U882" s="82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2"/>
      <c r="R883" s="82"/>
      <c r="S883" s="82"/>
      <c r="T883" s="82"/>
      <c r="U883" s="82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2"/>
      <c r="R884" s="82"/>
      <c r="S884" s="82"/>
      <c r="T884" s="82"/>
      <c r="U884" s="82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2"/>
      <c r="R885" s="82"/>
      <c r="S885" s="82"/>
      <c r="T885" s="82"/>
      <c r="U885" s="82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2"/>
      <c r="R886" s="82"/>
      <c r="S886" s="82"/>
      <c r="T886" s="82"/>
      <c r="U886" s="82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2"/>
      <c r="R887" s="82"/>
      <c r="S887" s="82"/>
      <c r="T887" s="82"/>
      <c r="U887" s="82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2"/>
      <c r="R888" s="82"/>
      <c r="S888" s="82"/>
      <c r="T888" s="82"/>
      <c r="U888" s="82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2"/>
      <c r="R889" s="82"/>
      <c r="S889" s="82"/>
      <c r="T889" s="82"/>
      <c r="U889" s="82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2"/>
      <c r="R890" s="82"/>
      <c r="S890" s="82"/>
      <c r="T890" s="82"/>
      <c r="U890" s="82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2"/>
      <c r="R891" s="82"/>
      <c r="S891" s="82"/>
      <c r="T891" s="82"/>
      <c r="U891" s="82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2"/>
      <c r="R892" s="82"/>
      <c r="S892" s="82"/>
      <c r="T892" s="82"/>
      <c r="U892" s="82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2"/>
      <c r="R893" s="82"/>
      <c r="S893" s="82"/>
      <c r="T893" s="82"/>
      <c r="U893" s="82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2"/>
      <c r="R894" s="82"/>
      <c r="S894" s="82"/>
      <c r="T894" s="82"/>
      <c r="U894" s="82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2"/>
      <c r="R895" s="82"/>
      <c r="S895" s="82"/>
      <c r="T895" s="82"/>
      <c r="U895" s="82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2"/>
      <c r="R896" s="82"/>
      <c r="S896" s="82"/>
      <c r="T896" s="82"/>
      <c r="U896" s="82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2"/>
      <c r="R897" s="82"/>
      <c r="S897" s="82"/>
      <c r="T897" s="82"/>
      <c r="U897" s="82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2"/>
      <c r="R898" s="82"/>
      <c r="S898" s="82"/>
      <c r="T898" s="82"/>
      <c r="U898" s="82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2"/>
      <c r="R899" s="82"/>
      <c r="S899" s="82"/>
      <c r="T899" s="82"/>
      <c r="U899" s="82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2"/>
      <c r="R900" s="82"/>
      <c r="S900" s="82"/>
      <c r="T900" s="82"/>
      <c r="U900" s="82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2"/>
      <c r="R901" s="82"/>
      <c r="S901" s="82"/>
      <c r="T901" s="82"/>
      <c r="U901" s="82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2"/>
      <c r="R902" s="82"/>
      <c r="S902" s="82"/>
      <c r="T902" s="82"/>
      <c r="U902" s="82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2"/>
      <c r="R903" s="82"/>
      <c r="S903" s="82"/>
      <c r="T903" s="82"/>
      <c r="U903" s="82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2"/>
      <c r="R904" s="82"/>
      <c r="S904" s="82"/>
      <c r="T904" s="82"/>
      <c r="U904" s="82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2"/>
      <c r="R905" s="82"/>
      <c r="S905" s="82"/>
      <c r="T905" s="82"/>
      <c r="U905" s="82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2"/>
      <c r="R906" s="82"/>
      <c r="S906" s="82"/>
      <c r="T906" s="82"/>
      <c r="U906" s="82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2"/>
      <c r="R907" s="82"/>
      <c r="S907" s="82"/>
      <c r="T907" s="82"/>
      <c r="U907" s="82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2"/>
      <c r="R908" s="82"/>
      <c r="S908" s="82"/>
      <c r="T908" s="82"/>
      <c r="U908" s="82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2"/>
      <c r="R909" s="82"/>
      <c r="S909" s="82"/>
      <c r="T909" s="82"/>
      <c r="U909" s="82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2"/>
      <c r="R910" s="82"/>
      <c r="S910" s="82"/>
      <c r="T910" s="82"/>
      <c r="U910" s="82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2"/>
      <c r="R911" s="82"/>
      <c r="S911" s="82"/>
      <c r="T911" s="82"/>
      <c r="U911" s="82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2"/>
      <c r="R912" s="82"/>
      <c r="S912" s="82"/>
      <c r="T912" s="82"/>
      <c r="U912" s="82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2"/>
      <c r="R913" s="82"/>
      <c r="S913" s="82"/>
      <c r="T913" s="82"/>
      <c r="U913" s="82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2"/>
      <c r="R914" s="82"/>
      <c r="S914" s="82"/>
      <c r="T914" s="82"/>
      <c r="U914" s="82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2"/>
      <c r="R915" s="82"/>
      <c r="S915" s="82"/>
      <c r="T915" s="82"/>
      <c r="U915" s="82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2"/>
      <c r="R916" s="82"/>
      <c r="S916" s="82"/>
      <c r="T916" s="82"/>
      <c r="U916" s="82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2"/>
      <c r="R917" s="82"/>
      <c r="S917" s="82"/>
      <c r="T917" s="82"/>
      <c r="U917" s="82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2"/>
      <c r="R918" s="82"/>
      <c r="S918" s="82"/>
      <c r="T918" s="82"/>
      <c r="U918" s="82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2"/>
      <c r="R919" s="82"/>
      <c r="S919" s="82"/>
      <c r="T919" s="82"/>
      <c r="U919" s="82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2"/>
      <c r="R920" s="82"/>
      <c r="S920" s="82"/>
      <c r="T920" s="82"/>
      <c r="U920" s="82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2"/>
      <c r="R921" s="82"/>
      <c r="S921" s="82"/>
      <c r="T921" s="82"/>
      <c r="U921" s="82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2"/>
      <c r="R922" s="82"/>
      <c r="S922" s="82"/>
      <c r="T922" s="82"/>
      <c r="U922" s="82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2"/>
      <c r="R923" s="82"/>
      <c r="S923" s="82"/>
      <c r="T923" s="82"/>
      <c r="U923" s="82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2"/>
      <c r="R924" s="82"/>
      <c r="S924" s="82"/>
      <c r="T924" s="82"/>
      <c r="U924" s="82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2"/>
      <c r="R925" s="82"/>
      <c r="S925" s="82"/>
      <c r="T925" s="82"/>
      <c r="U925" s="82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2"/>
      <c r="R926" s="82"/>
      <c r="S926" s="82"/>
      <c r="T926" s="82"/>
      <c r="U926" s="82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2"/>
      <c r="R927" s="82"/>
      <c r="S927" s="82"/>
      <c r="T927" s="82"/>
      <c r="U927" s="82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2"/>
      <c r="R928" s="82"/>
      <c r="S928" s="82"/>
      <c r="T928" s="82"/>
      <c r="U928" s="82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2"/>
      <c r="R929" s="82"/>
      <c r="S929" s="82"/>
      <c r="T929" s="82"/>
      <c r="U929" s="82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2"/>
      <c r="R930" s="82"/>
      <c r="S930" s="82"/>
      <c r="T930" s="82"/>
      <c r="U930" s="82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2"/>
      <c r="R931" s="82"/>
      <c r="S931" s="82"/>
      <c r="T931" s="82"/>
      <c r="U931" s="82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2"/>
      <c r="R932" s="82"/>
      <c r="S932" s="82"/>
      <c r="T932" s="82"/>
      <c r="U932" s="82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2"/>
      <c r="R933" s="82"/>
      <c r="S933" s="82"/>
      <c r="T933" s="82"/>
      <c r="U933" s="82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2"/>
      <c r="R934" s="82"/>
      <c r="S934" s="82"/>
      <c r="T934" s="82"/>
      <c r="U934" s="82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2"/>
      <c r="R935" s="82"/>
      <c r="S935" s="82"/>
      <c r="T935" s="82"/>
      <c r="U935" s="82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2"/>
      <c r="R936" s="82"/>
      <c r="S936" s="82"/>
      <c r="T936" s="82"/>
      <c r="U936" s="82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2"/>
      <c r="R937" s="82"/>
      <c r="S937" s="82"/>
      <c r="T937" s="82"/>
      <c r="U937" s="82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2"/>
      <c r="R938" s="82"/>
      <c r="S938" s="82"/>
      <c r="T938" s="82"/>
      <c r="U938" s="82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2"/>
      <c r="R939" s="82"/>
      <c r="S939" s="82"/>
      <c r="T939" s="82"/>
      <c r="U939" s="82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2"/>
      <c r="R940" s="82"/>
      <c r="S940" s="82"/>
      <c r="T940" s="82"/>
      <c r="U940" s="82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2"/>
      <c r="R941" s="82"/>
      <c r="S941" s="82"/>
      <c r="T941" s="82"/>
      <c r="U941" s="82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2"/>
      <c r="R942" s="82"/>
      <c r="S942" s="82"/>
      <c r="T942" s="82"/>
      <c r="U942" s="82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2"/>
      <c r="R943" s="82"/>
      <c r="S943" s="82"/>
      <c r="T943" s="82"/>
      <c r="U943" s="82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2"/>
      <c r="R944" s="82"/>
      <c r="S944" s="82"/>
      <c r="T944" s="82"/>
      <c r="U944" s="82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2"/>
      <c r="R945" s="82"/>
      <c r="S945" s="82"/>
      <c r="T945" s="82"/>
      <c r="U945" s="82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2"/>
      <c r="R946" s="82"/>
      <c r="S946" s="82"/>
      <c r="T946" s="82"/>
      <c r="U946" s="82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2"/>
      <c r="R947" s="82"/>
      <c r="S947" s="82"/>
      <c r="T947" s="82"/>
      <c r="U947" s="82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2"/>
      <c r="R948" s="82"/>
      <c r="S948" s="82"/>
      <c r="T948" s="82"/>
      <c r="U948" s="82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2"/>
      <c r="R949" s="82"/>
      <c r="S949" s="82"/>
      <c r="T949" s="82"/>
      <c r="U949" s="82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2"/>
      <c r="R950" s="82"/>
      <c r="S950" s="82"/>
      <c r="T950" s="82"/>
      <c r="U950" s="82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2"/>
      <c r="R951" s="82"/>
      <c r="S951" s="82"/>
      <c r="T951" s="82"/>
      <c r="U951" s="82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2"/>
      <c r="R952" s="82"/>
      <c r="S952" s="82"/>
      <c r="T952" s="82"/>
      <c r="U952" s="82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2"/>
      <c r="R953" s="82"/>
      <c r="S953" s="82"/>
      <c r="T953" s="82"/>
      <c r="U953" s="82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2"/>
      <c r="R954" s="82"/>
      <c r="S954" s="82"/>
      <c r="T954" s="82"/>
      <c r="U954" s="82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2"/>
      <c r="R955" s="82"/>
      <c r="S955" s="82"/>
      <c r="T955" s="82"/>
      <c r="U955" s="82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2"/>
      <c r="R956" s="82"/>
      <c r="S956" s="82"/>
      <c r="T956" s="82"/>
      <c r="U956" s="82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2"/>
      <c r="R957" s="82"/>
      <c r="S957" s="82"/>
      <c r="T957" s="82"/>
      <c r="U957" s="82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2"/>
      <c r="R958" s="82"/>
      <c r="S958" s="82"/>
      <c r="T958" s="82"/>
      <c r="U958" s="82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2"/>
      <c r="R959" s="82"/>
      <c r="S959" s="82"/>
      <c r="T959" s="82"/>
      <c r="U959" s="82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2"/>
      <c r="R960" s="82"/>
      <c r="S960" s="82"/>
      <c r="T960" s="82"/>
      <c r="U960" s="82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2"/>
      <c r="R961" s="82"/>
      <c r="S961" s="82"/>
      <c r="T961" s="82"/>
      <c r="U961" s="82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2"/>
      <c r="R962" s="82"/>
      <c r="S962" s="82"/>
      <c r="T962" s="82"/>
      <c r="U962" s="82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2"/>
      <c r="R963" s="82"/>
      <c r="S963" s="82"/>
      <c r="T963" s="82"/>
      <c r="U963" s="82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2"/>
      <c r="R964" s="82"/>
      <c r="S964" s="82"/>
      <c r="T964" s="82"/>
      <c r="U964" s="82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2"/>
      <c r="R965" s="82"/>
      <c r="S965" s="82"/>
      <c r="T965" s="82"/>
      <c r="U965" s="82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2"/>
      <c r="R966" s="82"/>
      <c r="S966" s="82"/>
      <c r="T966" s="82"/>
      <c r="U966" s="82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2"/>
      <c r="R967" s="82"/>
      <c r="S967" s="82"/>
      <c r="T967" s="82"/>
      <c r="U967" s="82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2"/>
      <c r="R968" s="82"/>
      <c r="S968" s="82"/>
      <c r="T968" s="82"/>
      <c r="U968" s="82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2"/>
      <c r="R969" s="82"/>
      <c r="S969" s="82"/>
      <c r="T969" s="82"/>
      <c r="U969" s="82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2"/>
      <c r="R970" s="82"/>
      <c r="S970" s="82"/>
      <c r="T970" s="82"/>
      <c r="U970" s="82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2"/>
      <c r="R971" s="82"/>
      <c r="S971" s="82"/>
      <c r="T971" s="82"/>
      <c r="U971" s="82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2"/>
      <c r="R972" s="82"/>
      <c r="S972" s="82"/>
      <c r="T972" s="82"/>
      <c r="U972" s="82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2"/>
      <c r="R973" s="82"/>
      <c r="S973" s="82"/>
      <c r="T973" s="82"/>
      <c r="U973" s="82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2"/>
      <c r="R974" s="82"/>
      <c r="S974" s="82"/>
      <c r="T974" s="82"/>
      <c r="U974" s="82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2"/>
      <c r="R975" s="82"/>
      <c r="S975" s="82"/>
      <c r="T975" s="82"/>
      <c r="U975" s="82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2"/>
      <c r="R976" s="82"/>
      <c r="S976" s="82"/>
      <c r="T976" s="82"/>
      <c r="U976" s="82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2"/>
      <c r="R977" s="82"/>
      <c r="S977" s="82"/>
      <c r="T977" s="82"/>
      <c r="U977" s="82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2"/>
      <c r="R978" s="82"/>
      <c r="S978" s="82"/>
      <c r="T978" s="82"/>
      <c r="U978" s="82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2"/>
      <c r="R979" s="82"/>
      <c r="S979" s="82"/>
      <c r="T979" s="82"/>
      <c r="U979" s="82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2"/>
      <c r="R980" s="82"/>
      <c r="S980" s="82"/>
      <c r="T980" s="82"/>
      <c r="U980" s="82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2"/>
      <c r="R981" s="82"/>
      <c r="S981" s="82"/>
      <c r="T981" s="82"/>
      <c r="U981" s="82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2"/>
      <c r="R982" s="82"/>
      <c r="S982" s="82"/>
      <c r="T982" s="82"/>
      <c r="U982" s="82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2"/>
      <c r="R983" s="82"/>
      <c r="S983" s="82"/>
      <c r="T983" s="82"/>
      <c r="U983" s="82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2"/>
      <c r="R984" s="82"/>
      <c r="S984" s="82"/>
      <c r="T984" s="82"/>
      <c r="U984" s="82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2"/>
      <c r="R985" s="82"/>
      <c r="S985" s="82"/>
      <c r="T985" s="82"/>
      <c r="U985" s="82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2"/>
      <c r="R986" s="82"/>
      <c r="S986" s="82"/>
      <c r="T986" s="82"/>
      <c r="U986" s="82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2"/>
      <c r="R987" s="82"/>
      <c r="S987" s="82"/>
      <c r="T987" s="82"/>
      <c r="U987" s="82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2"/>
      <c r="R988" s="82"/>
      <c r="S988" s="82"/>
      <c r="T988" s="82"/>
      <c r="U988" s="82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2"/>
      <c r="R989" s="82"/>
      <c r="S989" s="82"/>
      <c r="T989" s="82"/>
      <c r="U989" s="82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2"/>
      <c r="R990" s="82"/>
      <c r="S990" s="82"/>
      <c r="T990" s="82"/>
      <c r="U990" s="82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2"/>
      <c r="R991" s="82"/>
      <c r="S991" s="82"/>
      <c r="T991" s="82"/>
      <c r="U991" s="82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2"/>
      <c r="R992" s="82"/>
      <c r="S992" s="82"/>
      <c r="T992" s="82"/>
      <c r="U992" s="82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2"/>
      <c r="R993" s="82"/>
      <c r="S993" s="82"/>
      <c r="T993" s="82"/>
      <c r="U993" s="82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2"/>
      <c r="R994" s="82"/>
      <c r="S994" s="82"/>
      <c r="T994" s="82"/>
      <c r="U994" s="82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2"/>
      <c r="R995" s="82"/>
      <c r="S995" s="82"/>
      <c r="T995" s="82"/>
      <c r="U995" s="82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2"/>
      <c r="R996" s="82"/>
      <c r="S996" s="82"/>
      <c r="T996" s="82"/>
      <c r="U996" s="82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2"/>
      <c r="R997" s="82"/>
      <c r="S997" s="82"/>
      <c r="T997" s="82"/>
      <c r="U997" s="82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2"/>
      <c r="R998" s="82"/>
      <c r="S998" s="82"/>
      <c r="T998" s="82"/>
      <c r="U998" s="82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2"/>
      <c r="R999" s="82"/>
      <c r="S999" s="82"/>
      <c r="T999" s="82"/>
      <c r="U999" s="82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2"/>
      <c r="R1000" s="82"/>
      <c r="S1000" s="82"/>
      <c r="T1000" s="82"/>
      <c r="U1000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D4" s="72" t="s">
        <v>8</v>
      </c>
      <c r="E4" s="73"/>
      <c r="F4" s="73"/>
      <c r="G4" s="73"/>
      <c r="H4" s="32"/>
    </row>
    <row r="5">
      <c r="C5" s="74" t="s">
        <v>7</v>
      </c>
      <c r="D5" s="75" t="s">
        <v>59</v>
      </c>
      <c r="E5" s="75" t="s">
        <v>220</v>
      </c>
      <c r="F5" s="75" t="s">
        <v>9</v>
      </c>
      <c r="G5" s="75" t="s">
        <v>4</v>
      </c>
      <c r="H5" s="75" t="s">
        <v>60</v>
      </c>
    </row>
    <row r="6">
      <c r="C6" s="76" t="s">
        <v>60</v>
      </c>
      <c r="D6" s="77" t="s">
        <v>9</v>
      </c>
      <c r="E6" s="78" t="s">
        <v>4</v>
      </c>
      <c r="F6" s="78" t="s">
        <v>4</v>
      </c>
      <c r="G6" s="79" t="s">
        <v>60</v>
      </c>
      <c r="H6" s="79" t="s">
        <v>60</v>
      </c>
    </row>
    <row r="7">
      <c r="C7" s="76" t="s">
        <v>4</v>
      </c>
      <c r="D7" s="77" t="s">
        <v>9</v>
      </c>
      <c r="E7" s="77" t="s">
        <v>9</v>
      </c>
      <c r="F7" s="78" t="s">
        <v>4</v>
      </c>
      <c r="G7" s="79" t="s">
        <v>60</v>
      </c>
      <c r="H7" s="79" t="s">
        <v>60</v>
      </c>
    </row>
    <row r="8">
      <c r="C8" s="76" t="s">
        <v>9</v>
      </c>
      <c r="D8" s="80" t="s">
        <v>11</v>
      </c>
      <c r="E8" s="77" t="s">
        <v>9</v>
      </c>
      <c r="F8" s="78" t="s">
        <v>4</v>
      </c>
      <c r="G8" s="78" t="s">
        <v>4</v>
      </c>
      <c r="H8" s="79" t="s">
        <v>60</v>
      </c>
    </row>
    <row r="9">
      <c r="C9" s="76" t="s">
        <v>11</v>
      </c>
      <c r="D9" s="80" t="s">
        <v>11</v>
      </c>
      <c r="E9" s="80" t="s">
        <v>11</v>
      </c>
      <c r="F9" s="77" t="s">
        <v>9</v>
      </c>
      <c r="G9" s="78" t="s">
        <v>4</v>
      </c>
      <c r="H9" s="78" t="s">
        <v>4</v>
      </c>
    </row>
    <row r="10">
      <c r="C10" s="76" t="s">
        <v>59</v>
      </c>
      <c r="D10" s="80" t="s">
        <v>11</v>
      </c>
      <c r="E10" s="80" t="s">
        <v>11</v>
      </c>
      <c r="F10" s="77" t="s">
        <v>9</v>
      </c>
      <c r="G10" s="77" t="s">
        <v>9</v>
      </c>
      <c r="H10" s="78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13.57"/>
    <col customWidth="1" min="4" max="4" width="24.71"/>
    <col customWidth="1" min="5" max="5" width="47.86"/>
    <col customWidth="1" min="6" max="6" width="14.0"/>
    <col customWidth="1" min="7" max="7" width="12.29"/>
    <col customWidth="1" min="8" max="8" width="10.14"/>
    <col customWidth="1" min="9" max="11" width="15.0"/>
    <col customWidth="1" min="12" max="12" width="34.0"/>
    <col customWidth="1" min="13" max="13" width="13.43"/>
    <col customWidth="1" min="14" max="14" width="12.71"/>
    <col customWidth="1" min="15" max="15" width="15.57"/>
    <col customWidth="1" min="16" max="16" width="26.57"/>
    <col customWidth="1" min="17" max="26" width="10.71"/>
  </cols>
  <sheetData>
    <row r="1" ht="25.5" customHeight="1">
      <c r="A1" s="93" t="s">
        <v>221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>
      <c r="A2" s="95" t="s">
        <v>61</v>
      </c>
      <c r="B2" s="95" t="s">
        <v>62</v>
      </c>
      <c r="C2" s="95" t="s">
        <v>63</v>
      </c>
      <c r="D2" s="95" t="s">
        <v>64</v>
      </c>
      <c r="E2" s="95" t="s">
        <v>65</v>
      </c>
      <c r="F2" s="95" t="s">
        <v>66</v>
      </c>
      <c r="G2" s="95" t="s">
        <v>67</v>
      </c>
      <c r="H2" s="95" t="s">
        <v>8</v>
      </c>
      <c r="I2" s="95" t="s">
        <v>222</v>
      </c>
      <c r="J2" s="95" t="s">
        <v>223</v>
      </c>
      <c r="K2" s="95" t="s">
        <v>6</v>
      </c>
      <c r="L2" s="95" t="s">
        <v>224</v>
      </c>
      <c r="M2" s="95" t="s">
        <v>71</v>
      </c>
      <c r="N2" s="95" t="s">
        <v>72</v>
      </c>
      <c r="O2" s="95" t="s">
        <v>14</v>
      </c>
      <c r="P2" s="95" t="s">
        <v>73</v>
      </c>
    </row>
    <row r="3" ht="117.75" customHeight="1">
      <c r="A3" s="96">
        <v>1.0</v>
      </c>
      <c r="B3" s="97">
        <v>46093.0</v>
      </c>
      <c r="C3" s="98" t="s">
        <v>74</v>
      </c>
      <c r="D3" s="98" t="s">
        <v>225</v>
      </c>
      <c r="E3" s="98" t="s">
        <v>226</v>
      </c>
      <c r="F3" s="98" t="s">
        <v>120</v>
      </c>
      <c r="G3" s="96" t="s">
        <v>60</v>
      </c>
      <c r="H3" s="96" t="s">
        <v>60</v>
      </c>
      <c r="I3" s="99">
        <f t="shared" ref="I3:I11" si="1">IF(G3="muy alto",1,IF(G3="alto",2,IF(G3="medio",3,IF(G3="bajo",4,5))))</f>
        <v>1</v>
      </c>
      <c r="J3" s="99">
        <f t="shared" ref="J3:J11" si="2">IF(H3="muy alto",5,IF(H3="alto",4,IF(H3="medio",3,IF(H3="bajo",2,1))))</f>
        <v>5</v>
      </c>
      <c r="K3" s="100" t="str">
        <f t="array" ref="K3">INDEX(Matriz!$D$6:$H$10,I3,J3)</f>
        <v>Muy Alto</v>
      </c>
      <c r="L3" s="96" t="s">
        <v>227</v>
      </c>
      <c r="M3" s="96" t="s">
        <v>228</v>
      </c>
      <c r="N3" s="101">
        <v>42898.0</v>
      </c>
      <c r="O3" s="102" t="s">
        <v>28</v>
      </c>
      <c r="P3" s="103"/>
    </row>
    <row r="4" ht="95.25" customHeight="1">
      <c r="A4" s="104">
        <v>2.0</v>
      </c>
      <c r="B4" s="105">
        <v>46094.0</v>
      </c>
      <c r="C4" s="98" t="s">
        <v>89</v>
      </c>
      <c r="D4" s="98" t="s">
        <v>229</v>
      </c>
      <c r="E4" s="98" t="s">
        <v>230</v>
      </c>
      <c r="F4" s="98" t="s">
        <v>231</v>
      </c>
      <c r="G4" s="96" t="s">
        <v>60</v>
      </c>
      <c r="H4" s="96" t="s">
        <v>4</v>
      </c>
      <c r="I4" s="99">
        <f t="shared" si="1"/>
        <v>1</v>
      </c>
      <c r="J4" s="99">
        <f t="shared" si="2"/>
        <v>4</v>
      </c>
      <c r="K4" s="100" t="str">
        <f t="array" ref="K4">INDEX(Matriz!$D$6:$H$10,I4,J4)</f>
        <v>Muy Alto</v>
      </c>
      <c r="L4" s="96" t="s">
        <v>232</v>
      </c>
      <c r="M4" s="96" t="s">
        <v>228</v>
      </c>
      <c r="N4" s="101">
        <v>42902.0</v>
      </c>
      <c r="O4" s="106" t="s">
        <v>17</v>
      </c>
      <c r="P4" s="19"/>
    </row>
    <row r="5" ht="130.5" customHeight="1">
      <c r="A5" s="96">
        <v>3.0</v>
      </c>
      <c r="B5" s="105">
        <v>46094.0</v>
      </c>
      <c r="C5" s="107" t="s">
        <v>89</v>
      </c>
      <c r="D5" s="107" t="s">
        <v>233</v>
      </c>
      <c r="E5" s="98" t="s">
        <v>234</v>
      </c>
      <c r="F5" s="98" t="s">
        <v>231</v>
      </c>
      <c r="G5" s="96" t="s">
        <v>4</v>
      </c>
      <c r="H5" s="96" t="s">
        <v>60</v>
      </c>
      <c r="I5" s="99">
        <f t="shared" si="1"/>
        <v>2</v>
      </c>
      <c r="J5" s="99">
        <f t="shared" si="2"/>
        <v>5</v>
      </c>
      <c r="K5" s="100" t="str">
        <f t="array" ref="K5">INDEX(Matriz!$D$6:$H$10,I5,J5)</f>
        <v>Muy Alto</v>
      </c>
      <c r="L5" s="96" t="s">
        <v>235</v>
      </c>
      <c r="M5" s="96" t="s">
        <v>236</v>
      </c>
      <c r="N5" s="101" t="s">
        <v>237</v>
      </c>
      <c r="O5" s="106" t="s">
        <v>17</v>
      </c>
      <c r="P5" s="19"/>
    </row>
    <row r="6">
      <c r="A6" s="96">
        <v>4.0</v>
      </c>
      <c r="B6" s="105">
        <v>46094.0</v>
      </c>
      <c r="C6" s="107" t="s">
        <v>113</v>
      </c>
      <c r="D6" s="107" t="s">
        <v>238</v>
      </c>
      <c r="E6" s="98" t="s">
        <v>239</v>
      </c>
      <c r="F6" s="98" t="s">
        <v>240</v>
      </c>
      <c r="G6" s="96" t="s">
        <v>9</v>
      </c>
      <c r="H6" s="96" t="s">
        <v>4</v>
      </c>
      <c r="I6" s="99">
        <f t="shared" si="1"/>
        <v>3</v>
      </c>
      <c r="J6" s="99">
        <f t="shared" si="2"/>
        <v>4</v>
      </c>
      <c r="K6" s="100" t="str">
        <f t="array" ref="K6">INDEX(Matriz!$D$6:$H$10,I6,J6)</f>
        <v>Alto</v>
      </c>
      <c r="L6" s="96" t="s">
        <v>241</v>
      </c>
      <c r="M6" s="96" t="s">
        <v>242</v>
      </c>
      <c r="N6" s="101" t="s">
        <v>242</v>
      </c>
      <c r="O6" s="106" t="s">
        <v>17</v>
      </c>
      <c r="P6" s="19"/>
    </row>
    <row r="7">
      <c r="A7" s="96">
        <v>5.0</v>
      </c>
      <c r="B7" s="105">
        <v>46095.0</v>
      </c>
      <c r="C7" s="107" t="s">
        <v>89</v>
      </c>
      <c r="D7" s="107" t="s">
        <v>243</v>
      </c>
      <c r="E7" s="98" t="s">
        <v>244</v>
      </c>
      <c r="F7" s="98" t="s">
        <v>231</v>
      </c>
      <c r="G7" s="96" t="s">
        <v>4</v>
      </c>
      <c r="H7" s="96" t="s">
        <v>60</v>
      </c>
      <c r="I7" s="99">
        <f t="shared" si="1"/>
        <v>2</v>
      </c>
      <c r="J7" s="99">
        <f t="shared" si="2"/>
        <v>5</v>
      </c>
      <c r="K7" s="100" t="str">
        <f t="array" ref="K7">INDEX(Matriz!$D$6:$H$10,I7,J7)</f>
        <v>Muy Alto</v>
      </c>
      <c r="L7" s="96" t="s">
        <v>245</v>
      </c>
      <c r="M7" s="96" t="s">
        <v>246</v>
      </c>
      <c r="N7" s="101">
        <v>42895.0</v>
      </c>
      <c r="O7" s="106" t="s">
        <v>17</v>
      </c>
      <c r="P7" s="107" t="s">
        <v>247</v>
      </c>
    </row>
    <row r="8">
      <c r="A8" s="104">
        <v>6.0</v>
      </c>
      <c r="B8" s="105">
        <v>46096.0</v>
      </c>
      <c r="C8" s="98" t="s">
        <v>248</v>
      </c>
      <c r="D8" s="98" t="s">
        <v>249</v>
      </c>
      <c r="E8" s="98" t="s">
        <v>250</v>
      </c>
      <c r="F8" s="98" t="s">
        <v>231</v>
      </c>
      <c r="G8" s="96" t="s">
        <v>9</v>
      </c>
      <c r="H8" s="96" t="s">
        <v>60</v>
      </c>
      <c r="I8" s="99">
        <f t="shared" si="1"/>
        <v>3</v>
      </c>
      <c r="J8" s="99">
        <f t="shared" si="2"/>
        <v>5</v>
      </c>
      <c r="K8" s="100" t="str">
        <f t="array" ref="K8">INDEX(Matriz!$D$6:$H$10,I8,J8)</f>
        <v>Muy Alto</v>
      </c>
      <c r="L8" s="96" t="s">
        <v>251</v>
      </c>
      <c r="M8" s="96" t="s">
        <v>242</v>
      </c>
      <c r="N8" s="101" t="s">
        <v>242</v>
      </c>
      <c r="O8" s="106" t="s">
        <v>28</v>
      </c>
      <c r="P8" s="107" t="s">
        <v>242</v>
      </c>
    </row>
    <row r="9">
      <c r="A9" s="104">
        <v>7.0</v>
      </c>
      <c r="B9" s="105">
        <v>46097.0</v>
      </c>
      <c r="C9" s="98" t="s">
        <v>248</v>
      </c>
      <c r="D9" s="98" t="s">
        <v>252</v>
      </c>
      <c r="E9" s="98" t="s">
        <v>253</v>
      </c>
      <c r="F9" s="98" t="s">
        <v>231</v>
      </c>
      <c r="G9" s="96" t="s">
        <v>9</v>
      </c>
      <c r="H9" s="96" t="s">
        <v>60</v>
      </c>
      <c r="I9" s="99">
        <f t="shared" si="1"/>
        <v>3</v>
      </c>
      <c r="J9" s="99">
        <f t="shared" si="2"/>
        <v>5</v>
      </c>
      <c r="K9" s="100" t="str">
        <f t="array" ref="K9">INDEX(Matriz!$D$6:$H$10,I9,J9)</f>
        <v>Muy Alto</v>
      </c>
      <c r="L9" s="96" t="s">
        <v>254</v>
      </c>
      <c r="M9" s="96" t="s">
        <v>242</v>
      </c>
      <c r="N9" s="101" t="s">
        <v>242</v>
      </c>
      <c r="O9" s="106" t="s">
        <v>28</v>
      </c>
      <c r="P9" s="107" t="s">
        <v>255</v>
      </c>
    </row>
    <row r="10">
      <c r="A10" s="104">
        <v>8.0</v>
      </c>
      <c r="B10" s="105">
        <v>46098.0</v>
      </c>
      <c r="C10" s="98" t="s">
        <v>89</v>
      </c>
      <c r="D10" s="98" t="s">
        <v>256</v>
      </c>
      <c r="E10" s="98" t="s">
        <v>257</v>
      </c>
      <c r="F10" s="98" t="s">
        <v>231</v>
      </c>
      <c r="G10" s="96" t="s">
        <v>59</v>
      </c>
      <c r="H10" s="96" t="s">
        <v>60</v>
      </c>
      <c r="I10" s="99">
        <f t="shared" si="1"/>
        <v>5</v>
      </c>
      <c r="J10" s="99">
        <f t="shared" si="2"/>
        <v>5</v>
      </c>
      <c r="K10" s="100" t="str">
        <f t="array" ref="K10">INDEX(Matriz!$D$6:$H$10,I10,J10)</f>
        <v>Alto</v>
      </c>
      <c r="L10" s="96" t="s">
        <v>258</v>
      </c>
      <c r="M10" s="96" t="s">
        <v>242</v>
      </c>
      <c r="N10" s="101" t="s">
        <v>242</v>
      </c>
      <c r="O10" s="106" t="s">
        <v>28</v>
      </c>
      <c r="P10" s="107" t="s">
        <v>242</v>
      </c>
    </row>
    <row r="11">
      <c r="A11" s="104">
        <v>9.0</v>
      </c>
      <c r="B11" s="105">
        <v>46099.0</v>
      </c>
      <c r="C11" s="98" t="s">
        <v>248</v>
      </c>
      <c r="D11" s="98" t="s">
        <v>259</v>
      </c>
      <c r="E11" s="98" t="s">
        <v>260</v>
      </c>
      <c r="F11" s="98" t="s">
        <v>231</v>
      </c>
      <c r="G11" s="96" t="s">
        <v>9</v>
      </c>
      <c r="H11" s="96" t="s">
        <v>60</v>
      </c>
      <c r="I11" s="99">
        <f t="shared" si="1"/>
        <v>3</v>
      </c>
      <c r="J11" s="99">
        <f t="shared" si="2"/>
        <v>5</v>
      </c>
      <c r="K11" s="100" t="str">
        <f t="array" ref="K11">INDEX(Matriz!$D$6:$H$10,I11,J11)</f>
        <v>Muy Alto</v>
      </c>
      <c r="L11" s="96" t="s">
        <v>261</v>
      </c>
      <c r="M11" s="96" t="s">
        <v>242</v>
      </c>
      <c r="N11" s="101" t="s">
        <v>242</v>
      </c>
      <c r="O11" s="106" t="s">
        <v>28</v>
      </c>
      <c r="P11" s="107" t="s">
        <v>242</v>
      </c>
    </row>
    <row r="12">
      <c r="I12" s="1"/>
      <c r="J12" s="1"/>
      <c r="L12" s="87"/>
    </row>
    <row r="13">
      <c r="I13" s="1"/>
      <c r="J13" s="1"/>
      <c r="L13" s="87"/>
    </row>
    <row r="14">
      <c r="I14" s="1"/>
      <c r="J14" s="1"/>
      <c r="L14" s="87"/>
    </row>
    <row r="15">
      <c r="I15" s="1"/>
      <c r="J15" s="1"/>
      <c r="L15" s="87"/>
    </row>
    <row r="16">
      <c r="I16" s="1"/>
      <c r="J16" s="1"/>
      <c r="L16" s="87"/>
    </row>
    <row r="17">
      <c r="I17" s="1"/>
      <c r="J17" s="1"/>
      <c r="L17" s="87"/>
    </row>
    <row r="18">
      <c r="I18" s="1"/>
      <c r="J18" s="1"/>
      <c r="L18" s="87"/>
    </row>
    <row r="19">
      <c r="I19" s="1"/>
      <c r="J19" s="1"/>
      <c r="L19" s="87"/>
    </row>
    <row r="20">
      <c r="I20" s="1"/>
      <c r="J20" s="1"/>
      <c r="L20" s="87"/>
    </row>
    <row r="21" ht="15.75" customHeight="1">
      <c r="I21" s="1"/>
      <c r="J21" s="1"/>
      <c r="L21" s="87"/>
    </row>
    <row r="22" ht="15.75" customHeight="1">
      <c r="I22" s="1"/>
      <c r="J22" s="1"/>
      <c r="L22" s="87"/>
    </row>
    <row r="23" ht="15.75" hidden="1" customHeight="1">
      <c r="I23" s="1"/>
      <c r="J23" s="1"/>
      <c r="L23" s="87"/>
    </row>
    <row r="24" ht="15.75" hidden="1" customHeight="1">
      <c r="I24" s="1"/>
      <c r="J24" s="1"/>
      <c r="L24" s="87"/>
    </row>
    <row r="25" ht="15.75" hidden="1" customHeight="1">
      <c r="I25" s="1"/>
      <c r="J25" s="1"/>
      <c r="L25" s="87"/>
    </row>
    <row r="26" ht="15.75" hidden="1" customHeight="1">
      <c r="C26" s="108" t="s">
        <v>74</v>
      </c>
      <c r="F26" s="100" t="s">
        <v>240</v>
      </c>
      <c r="G26" s="109" t="s">
        <v>60</v>
      </c>
      <c r="H26" s="109" t="s">
        <v>60</v>
      </c>
      <c r="I26" s="1"/>
      <c r="J26" s="1"/>
      <c r="L26" s="87"/>
      <c r="O26" s="109" t="s">
        <v>28</v>
      </c>
    </row>
    <row r="27" ht="15.75" hidden="1" customHeight="1">
      <c r="C27" s="108" t="s">
        <v>107</v>
      </c>
      <c r="F27" s="100" t="s">
        <v>231</v>
      </c>
      <c r="G27" s="109" t="s">
        <v>4</v>
      </c>
      <c r="H27" s="109" t="s">
        <v>4</v>
      </c>
      <c r="I27" s="1"/>
      <c r="J27" s="1"/>
      <c r="L27" s="87"/>
      <c r="O27" s="109" t="s">
        <v>16</v>
      </c>
    </row>
    <row r="28" ht="15.75" hidden="1" customHeight="1">
      <c r="C28" s="110" t="s">
        <v>248</v>
      </c>
      <c r="F28" s="100" t="s">
        <v>262</v>
      </c>
      <c r="G28" s="109" t="s">
        <v>9</v>
      </c>
      <c r="H28" s="109" t="s">
        <v>9</v>
      </c>
      <c r="I28" s="1"/>
      <c r="J28" s="1"/>
      <c r="L28" s="87"/>
      <c r="O28" s="109" t="s">
        <v>17</v>
      </c>
    </row>
    <row r="29" ht="15.75" hidden="1" customHeight="1">
      <c r="C29" s="108" t="s">
        <v>89</v>
      </c>
      <c r="F29" s="100" t="s">
        <v>120</v>
      </c>
      <c r="G29" s="109" t="s">
        <v>11</v>
      </c>
      <c r="H29" s="109" t="s">
        <v>11</v>
      </c>
      <c r="I29" s="1"/>
      <c r="J29" s="1"/>
      <c r="L29" s="87"/>
      <c r="O29" s="109" t="s">
        <v>18</v>
      </c>
    </row>
    <row r="30" ht="15.75" hidden="1" customHeight="1">
      <c r="C30" s="108" t="s">
        <v>113</v>
      </c>
      <c r="F30" s="111"/>
      <c r="G30" s="109" t="s">
        <v>59</v>
      </c>
      <c r="H30" s="109" t="s">
        <v>59</v>
      </c>
      <c r="I30" s="1"/>
      <c r="J30" s="1"/>
      <c r="L30" s="87"/>
    </row>
    <row r="31" ht="15.75" hidden="1" customHeight="1">
      <c r="C31" s="110" t="s">
        <v>263</v>
      </c>
      <c r="I31" s="1"/>
      <c r="J31" s="1"/>
      <c r="L31" s="87"/>
    </row>
    <row r="32" ht="15.75" hidden="1" customHeight="1">
      <c r="I32" s="1"/>
      <c r="J32" s="1"/>
      <c r="L32" s="87"/>
    </row>
    <row r="33" ht="15.75" customHeight="1">
      <c r="I33" s="1"/>
      <c r="J33" s="1"/>
      <c r="L33" s="87"/>
    </row>
    <row r="34" ht="15.75" customHeight="1">
      <c r="I34" s="1"/>
      <c r="J34" s="1"/>
      <c r="L34" s="87"/>
    </row>
    <row r="35" ht="15.75" customHeight="1">
      <c r="I35" s="1"/>
      <c r="J35" s="1"/>
      <c r="L35" s="87"/>
    </row>
    <row r="36" ht="15.75" customHeight="1">
      <c r="I36" s="1"/>
      <c r="J36" s="1"/>
      <c r="L36" s="87"/>
    </row>
    <row r="37" ht="15.75" customHeight="1">
      <c r="I37" s="1"/>
      <c r="J37" s="1"/>
      <c r="L37" s="87"/>
    </row>
    <row r="38" ht="15.75" customHeight="1">
      <c r="I38" s="1"/>
      <c r="J38" s="1"/>
      <c r="L38" s="87"/>
    </row>
    <row r="39" ht="15.75" customHeight="1">
      <c r="I39" s="1"/>
      <c r="J39" s="1"/>
      <c r="L39" s="87"/>
    </row>
    <row r="40" ht="15.75" customHeight="1">
      <c r="I40" s="1"/>
      <c r="J40" s="1"/>
      <c r="L40" s="87"/>
    </row>
    <row r="41" ht="15.75" customHeight="1">
      <c r="I41" s="1"/>
      <c r="J41" s="1"/>
      <c r="L41" s="87"/>
    </row>
    <row r="42" ht="15.75" customHeight="1">
      <c r="I42" s="1"/>
      <c r="J42" s="1"/>
      <c r="L42" s="87"/>
    </row>
    <row r="43" ht="15.75" customHeight="1">
      <c r="I43" s="1"/>
      <c r="J43" s="1"/>
      <c r="L43" s="87"/>
    </row>
    <row r="44" ht="15.75" customHeight="1">
      <c r="I44" s="1"/>
      <c r="J44" s="1"/>
      <c r="L44" s="87"/>
    </row>
    <row r="45" ht="15.75" customHeight="1">
      <c r="I45" s="1"/>
      <c r="J45" s="1"/>
      <c r="L45" s="87"/>
    </row>
    <row r="46" ht="15.75" customHeight="1">
      <c r="I46" s="1"/>
      <c r="J46" s="1"/>
      <c r="L46" s="87"/>
    </row>
    <row r="47" ht="15.75" customHeight="1">
      <c r="I47" s="1"/>
      <c r="J47" s="1"/>
      <c r="L47" s="87"/>
    </row>
    <row r="48" ht="15.75" customHeight="1">
      <c r="I48" s="1"/>
      <c r="J48" s="1"/>
      <c r="L48" s="87"/>
    </row>
    <row r="49" ht="15.75" customHeight="1">
      <c r="I49" s="1"/>
      <c r="J49" s="1"/>
      <c r="L49" s="87"/>
    </row>
    <row r="50" ht="15.75" customHeight="1">
      <c r="I50" s="1"/>
      <c r="J50" s="1"/>
      <c r="L50" s="87"/>
    </row>
    <row r="51" ht="15.75" customHeight="1">
      <c r="I51" s="1"/>
      <c r="J51" s="1"/>
      <c r="L51" s="87"/>
    </row>
    <row r="52" ht="15.75" customHeight="1">
      <c r="I52" s="1"/>
      <c r="J52" s="1"/>
      <c r="L52" s="87"/>
    </row>
    <row r="53" ht="15.75" customHeight="1">
      <c r="I53" s="1"/>
      <c r="J53" s="1"/>
      <c r="L53" s="87"/>
    </row>
    <row r="54" ht="15.75" customHeight="1">
      <c r="I54" s="1"/>
      <c r="J54" s="1"/>
      <c r="L54" s="87"/>
    </row>
    <row r="55" ht="15.75" customHeight="1">
      <c r="I55" s="1"/>
      <c r="J55" s="1"/>
      <c r="L55" s="87"/>
    </row>
    <row r="56" ht="15.75" customHeight="1">
      <c r="I56" s="1"/>
      <c r="J56" s="1"/>
      <c r="L56" s="87"/>
    </row>
    <row r="57" ht="15.75" customHeight="1">
      <c r="I57" s="1"/>
      <c r="J57" s="1"/>
      <c r="L57" s="87"/>
    </row>
    <row r="58" ht="15.75" customHeight="1">
      <c r="I58" s="1"/>
      <c r="J58" s="1"/>
      <c r="L58" s="87"/>
    </row>
    <row r="59" ht="15.75" customHeight="1">
      <c r="I59" s="1"/>
      <c r="J59" s="1"/>
      <c r="L59" s="87"/>
    </row>
    <row r="60" ht="15.75" customHeight="1">
      <c r="I60" s="1"/>
      <c r="J60" s="1"/>
      <c r="L60" s="87"/>
    </row>
    <row r="61" ht="15.75" customHeight="1">
      <c r="I61" s="1"/>
      <c r="J61" s="1"/>
      <c r="L61" s="87"/>
    </row>
    <row r="62" ht="15.75" customHeight="1">
      <c r="I62" s="1"/>
      <c r="J62" s="1"/>
      <c r="L62" s="87"/>
    </row>
    <row r="63" ht="15.75" customHeight="1">
      <c r="I63" s="1"/>
      <c r="J63" s="1"/>
      <c r="L63" s="87"/>
    </row>
    <row r="64" ht="15.75" customHeight="1">
      <c r="I64" s="1"/>
      <c r="J64" s="1"/>
      <c r="L64" s="87"/>
    </row>
    <row r="65" ht="15.75" customHeight="1">
      <c r="I65" s="1"/>
      <c r="J65" s="1"/>
      <c r="L65" s="87"/>
    </row>
    <row r="66" ht="15.75" customHeight="1">
      <c r="I66" s="1"/>
      <c r="J66" s="1"/>
      <c r="L66" s="87"/>
    </row>
    <row r="67" ht="15.75" customHeight="1">
      <c r="I67" s="1"/>
      <c r="J67" s="1"/>
      <c r="L67" s="87"/>
    </row>
    <row r="68" ht="15.75" customHeight="1">
      <c r="I68" s="1"/>
      <c r="J68" s="1"/>
      <c r="L68" s="87"/>
    </row>
    <row r="69" ht="15.75" customHeight="1">
      <c r="I69" s="1"/>
      <c r="J69" s="1"/>
      <c r="L69" s="87"/>
    </row>
    <row r="70" ht="15.75" customHeight="1">
      <c r="I70" s="1"/>
      <c r="J70" s="1"/>
      <c r="L70" s="87"/>
    </row>
    <row r="71" ht="15.75" customHeight="1">
      <c r="I71" s="1"/>
      <c r="J71" s="1"/>
      <c r="L71" s="87"/>
    </row>
    <row r="72" ht="15.75" customHeight="1">
      <c r="I72" s="1"/>
      <c r="J72" s="1"/>
      <c r="L72" s="87"/>
    </row>
    <row r="73" ht="15.75" customHeight="1">
      <c r="I73" s="1"/>
      <c r="J73" s="1"/>
      <c r="L73" s="87"/>
    </row>
    <row r="74" ht="15.75" customHeight="1">
      <c r="I74" s="1"/>
      <c r="J74" s="1"/>
      <c r="L74" s="87"/>
    </row>
    <row r="75" ht="15.75" customHeight="1">
      <c r="I75" s="1"/>
      <c r="J75" s="1"/>
      <c r="L75" s="87"/>
    </row>
    <row r="76" ht="15.75" customHeight="1">
      <c r="I76" s="1"/>
      <c r="J76" s="1"/>
      <c r="L76" s="87"/>
    </row>
    <row r="77" ht="15.75" customHeight="1">
      <c r="I77" s="1"/>
      <c r="J77" s="1"/>
      <c r="L77" s="87"/>
    </row>
    <row r="78" ht="15.75" customHeight="1">
      <c r="I78" s="1"/>
      <c r="J78" s="1"/>
      <c r="L78" s="87"/>
    </row>
    <row r="79" ht="15.75" customHeight="1">
      <c r="I79" s="1"/>
      <c r="J79" s="1"/>
      <c r="L79" s="87"/>
    </row>
    <row r="80" ht="15.75" customHeight="1">
      <c r="I80" s="1"/>
      <c r="J80" s="1"/>
      <c r="L80" s="87"/>
    </row>
    <row r="81" ht="15.75" customHeight="1">
      <c r="I81" s="1"/>
      <c r="J81" s="1"/>
      <c r="L81" s="87"/>
    </row>
    <row r="82" ht="15.75" customHeight="1">
      <c r="I82" s="1"/>
      <c r="J82" s="1"/>
      <c r="L82" s="87"/>
    </row>
    <row r="83" ht="15.75" customHeight="1">
      <c r="I83" s="1"/>
      <c r="J83" s="1"/>
      <c r="L83" s="87"/>
    </row>
    <row r="84" ht="15.75" customHeight="1">
      <c r="I84" s="1"/>
      <c r="J84" s="1"/>
      <c r="L84" s="87"/>
    </row>
    <row r="85" ht="15.75" customHeight="1">
      <c r="I85" s="1"/>
      <c r="J85" s="1"/>
      <c r="L85" s="87"/>
    </row>
    <row r="86" ht="15.75" customHeight="1">
      <c r="I86" s="1"/>
      <c r="J86" s="1"/>
      <c r="L86" s="87"/>
    </row>
    <row r="87" ht="15.75" customHeight="1">
      <c r="I87" s="1"/>
      <c r="J87" s="1"/>
      <c r="L87" s="87"/>
    </row>
    <row r="88" ht="15.75" customHeight="1">
      <c r="I88" s="1"/>
      <c r="J88" s="1"/>
      <c r="L88" s="87"/>
    </row>
    <row r="89" ht="15.75" customHeight="1">
      <c r="I89" s="1"/>
      <c r="J89" s="1"/>
      <c r="L89" s="87"/>
    </row>
    <row r="90" ht="15.75" customHeight="1">
      <c r="I90" s="1"/>
      <c r="J90" s="1"/>
      <c r="L90" s="87"/>
    </row>
    <row r="91" ht="15.75" customHeight="1">
      <c r="I91" s="1"/>
      <c r="J91" s="1"/>
      <c r="L91" s="87"/>
    </row>
    <row r="92" ht="15.75" customHeight="1">
      <c r="I92" s="1"/>
      <c r="J92" s="1"/>
      <c r="L92" s="87"/>
    </row>
    <row r="93" ht="15.75" customHeight="1">
      <c r="I93" s="1"/>
      <c r="J93" s="1"/>
      <c r="L93" s="87"/>
    </row>
    <row r="94" ht="15.75" customHeight="1">
      <c r="I94" s="1"/>
      <c r="J94" s="1"/>
      <c r="L94" s="87"/>
    </row>
    <row r="95" ht="15.75" customHeight="1">
      <c r="I95" s="1"/>
      <c r="J95" s="1"/>
      <c r="L95" s="87"/>
    </row>
    <row r="96" ht="15.75" customHeight="1">
      <c r="I96" s="1"/>
      <c r="J96" s="1"/>
      <c r="L96" s="87"/>
    </row>
    <row r="97" ht="15.75" customHeight="1">
      <c r="I97" s="1"/>
      <c r="J97" s="1"/>
      <c r="L97" s="87"/>
    </row>
    <row r="98" ht="15.75" customHeight="1">
      <c r="I98" s="1"/>
      <c r="J98" s="1"/>
      <c r="L98" s="87"/>
    </row>
    <row r="99" ht="15.75" customHeight="1">
      <c r="I99" s="1"/>
      <c r="J99" s="1"/>
      <c r="L99" s="87"/>
    </row>
    <row r="100" ht="15.75" customHeight="1">
      <c r="I100" s="1"/>
      <c r="J100" s="1"/>
      <c r="L100" s="87"/>
    </row>
    <row r="101" ht="15.75" customHeight="1">
      <c r="I101" s="1"/>
      <c r="J101" s="1"/>
      <c r="L101" s="87"/>
    </row>
    <row r="102" ht="15.75" customHeight="1">
      <c r="I102" s="1"/>
      <c r="J102" s="1"/>
      <c r="L102" s="87"/>
    </row>
    <row r="103" ht="15.75" customHeight="1">
      <c r="I103" s="1"/>
      <c r="J103" s="1"/>
      <c r="L103" s="87"/>
    </row>
    <row r="104" ht="15.75" customHeight="1">
      <c r="I104" s="1"/>
      <c r="J104" s="1"/>
      <c r="L104" s="87"/>
    </row>
    <row r="105" ht="15.75" customHeight="1">
      <c r="I105" s="1"/>
      <c r="J105" s="1"/>
      <c r="L105" s="87"/>
    </row>
    <row r="106" ht="15.75" customHeight="1">
      <c r="I106" s="1"/>
      <c r="J106" s="1"/>
      <c r="L106" s="87"/>
    </row>
    <row r="107" ht="15.75" customHeight="1">
      <c r="I107" s="1"/>
      <c r="J107" s="1"/>
      <c r="L107" s="87"/>
    </row>
    <row r="108" ht="15.75" customHeight="1">
      <c r="I108" s="1"/>
      <c r="J108" s="1"/>
      <c r="L108" s="87"/>
    </row>
    <row r="109" ht="15.75" customHeight="1">
      <c r="I109" s="1"/>
      <c r="J109" s="1"/>
      <c r="L109" s="87"/>
    </row>
    <row r="110" ht="15.75" customHeight="1">
      <c r="I110" s="1"/>
      <c r="J110" s="1"/>
      <c r="L110" s="87"/>
    </row>
    <row r="111" ht="15.75" customHeight="1">
      <c r="I111" s="1"/>
      <c r="J111" s="1"/>
      <c r="L111" s="87"/>
    </row>
    <row r="112" ht="15.75" customHeight="1">
      <c r="I112" s="1"/>
      <c r="J112" s="1"/>
      <c r="L112" s="87"/>
    </row>
    <row r="113" ht="15.75" customHeight="1">
      <c r="I113" s="1"/>
      <c r="J113" s="1"/>
      <c r="L113" s="87"/>
    </row>
    <row r="114" ht="15.75" customHeight="1">
      <c r="I114" s="1"/>
      <c r="J114" s="1"/>
      <c r="L114" s="87"/>
    </row>
    <row r="115" ht="15.75" customHeight="1">
      <c r="I115" s="1"/>
      <c r="J115" s="1"/>
      <c r="L115" s="87"/>
    </row>
    <row r="116" ht="15.75" customHeight="1">
      <c r="I116" s="1"/>
      <c r="J116" s="1"/>
      <c r="L116" s="87"/>
    </row>
    <row r="117" ht="15.75" customHeight="1">
      <c r="I117" s="1"/>
      <c r="J117" s="1"/>
      <c r="L117" s="87"/>
    </row>
    <row r="118" ht="15.75" customHeight="1">
      <c r="I118" s="1"/>
      <c r="J118" s="1"/>
      <c r="L118" s="87"/>
    </row>
    <row r="119" ht="15.75" customHeight="1">
      <c r="I119" s="1"/>
      <c r="J119" s="1"/>
      <c r="L119" s="87"/>
    </row>
    <row r="120" ht="15.75" customHeight="1">
      <c r="I120" s="1"/>
      <c r="J120" s="1"/>
      <c r="L120" s="87"/>
    </row>
    <row r="121" ht="15.75" customHeight="1">
      <c r="I121" s="1"/>
      <c r="J121" s="1"/>
      <c r="L121" s="87"/>
    </row>
    <row r="122" ht="15.75" customHeight="1">
      <c r="I122" s="1"/>
      <c r="J122" s="1"/>
      <c r="L122" s="87"/>
    </row>
    <row r="123" ht="15.75" customHeight="1">
      <c r="I123" s="1"/>
      <c r="J123" s="1"/>
      <c r="L123" s="87"/>
    </row>
    <row r="124" ht="15.75" customHeight="1">
      <c r="I124" s="1"/>
      <c r="J124" s="1"/>
      <c r="L124" s="87"/>
    </row>
    <row r="125" ht="15.75" customHeight="1">
      <c r="I125" s="1"/>
      <c r="J125" s="1"/>
      <c r="L125" s="87"/>
    </row>
    <row r="126" ht="15.75" customHeight="1">
      <c r="I126" s="1"/>
      <c r="J126" s="1"/>
      <c r="L126" s="87"/>
    </row>
    <row r="127" ht="15.75" customHeight="1">
      <c r="I127" s="1"/>
      <c r="J127" s="1"/>
      <c r="L127" s="87"/>
    </row>
    <row r="128" ht="15.75" customHeight="1">
      <c r="I128" s="1"/>
      <c r="J128" s="1"/>
      <c r="L128" s="87"/>
    </row>
    <row r="129" ht="15.75" customHeight="1">
      <c r="I129" s="1"/>
      <c r="J129" s="1"/>
      <c r="L129" s="87"/>
    </row>
    <row r="130" ht="15.75" customHeight="1">
      <c r="I130" s="1"/>
      <c r="J130" s="1"/>
      <c r="L130" s="87"/>
    </row>
    <row r="131" ht="15.75" customHeight="1">
      <c r="I131" s="1"/>
      <c r="J131" s="1"/>
      <c r="L131" s="87"/>
    </row>
    <row r="132" ht="15.75" customHeight="1">
      <c r="I132" s="1"/>
      <c r="J132" s="1"/>
      <c r="L132" s="87"/>
    </row>
    <row r="133" ht="15.75" customHeight="1">
      <c r="I133" s="1"/>
      <c r="J133" s="1"/>
      <c r="L133" s="87"/>
    </row>
    <row r="134" ht="15.75" customHeight="1">
      <c r="I134" s="1"/>
      <c r="J134" s="1"/>
      <c r="L134" s="87"/>
    </row>
    <row r="135" ht="15.75" customHeight="1">
      <c r="I135" s="1"/>
      <c r="J135" s="1"/>
      <c r="L135" s="87"/>
    </row>
    <row r="136" ht="15.75" customHeight="1">
      <c r="I136" s="1"/>
      <c r="J136" s="1"/>
      <c r="L136" s="87"/>
    </row>
    <row r="137" ht="15.75" customHeight="1">
      <c r="I137" s="1"/>
      <c r="J137" s="1"/>
      <c r="L137" s="87"/>
    </row>
    <row r="138" ht="15.75" customHeight="1">
      <c r="I138" s="1"/>
      <c r="J138" s="1"/>
      <c r="L138" s="87"/>
    </row>
    <row r="139" ht="15.75" customHeight="1">
      <c r="I139" s="1"/>
      <c r="J139" s="1"/>
      <c r="L139" s="87"/>
    </row>
    <row r="140" ht="15.75" customHeight="1">
      <c r="I140" s="1"/>
      <c r="J140" s="1"/>
      <c r="L140" s="87"/>
    </row>
    <row r="141" ht="15.75" customHeight="1">
      <c r="I141" s="1"/>
      <c r="J141" s="1"/>
      <c r="L141" s="87"/>
    </row>
    <row r="142" ht="15.75" customHeight="1">
      <c r="I142" s="1"/>
      <c r="J142" s="1"/>
      <c r="L142" s="87"/>
    </row>
    <row r="143" ht="15.75" customHeight="1">
      <c r="I143" s="1"/>
      <c r="J143" s="1"/>
      <c r="L143" s="87"/>
    </row>
    <row r="144" ht="15.75" customHeight="1">
      <c r="I144" s="1"/>
      <c r="J144" s="1"/>
      <c r="L144" s="87"/>
    </row>
    <row r="145" ht="15.75" customHeight="1">
      <c r="I145" s="1"/>
      <c r="J145" s="1"/>
      <c r="L145" s="87"/>
    </row>
    <row r="146" ht="15.75" customHeight="1">
      <c r="I146" s="1"/>
      <c r="J146" s="1"/>
      <c r="L146" s="87"/>
    </row>
    <row r="147" ht="15.75" customHeight="1">
      <c r="I147" s="1"/>
      <c r="J147" s="1"/>
      <c r="L147" s="87"/>
    </row>
    <row r="148" ht="15.75" customHeight="1">
      <c r="I148" s="1"/>
      <c r="J148" s="1"/>
      <c r="L148" s="87"/>
    </row>
    <row r="149" ht="15.75" customHeight="1">
      <c r="I149" s="1"/>
      <c r="J149" s="1"/>
      <c r="L149" s="87"/>
    </row>
    <row r="150" ht="15.75" customHeight="1">
      <c r="I150" s="1"/>
      <c r="J150" s="1"/>
      <c r="L150" s="87"/>
    </row>
    <row r="151" ht="15.75" customHeight="1">
      <c r="I151" s="1"/>
      <c r="J151" s="1"/>
      <c r="L151" s="87"/>
    </row>
    <row r="152" ht="15.75" customHeight="1">
      <c r="I152" s="1"/>
      <c r="J152" s="1"/>
      <c r="L152" s="87"/>
    </row>
    <row r="153" ht="15.75" customHeight="1">
      <c r="I153" s="1"/>
      <c r="J153" s="1"/>
      <c r="L153" s="87"/>
    </row>
    <row r="154" ht="15.75" customHeight="1">
      <c r="I154" s="1"/>
      <c r="J154" s="1"/>
      <c r="L154" s="87"/>
    </row>
    <row r="155" ht="15.75" customHeight="1">
      <c r="I155" s="1"/>
      <c r="J155" s="1"/>
      <c r="L155" s="87"/>
    </row>
    <row r="156" ht="15.75" customHeight="1">
      <c r="I156" s="1"/>
      <c r="J156" s="1"/>
      <c r="L156" s="87"/>
    </row>
    <row r="157" ht="15.75" customHeight="1">
      <c r="I157" s="1"/>
      <c r="J157" s="1"/>
      <c r="L157" s="87"/>
    </row>
    <row r="158" ht="15.75" customHeight="1">
      <c r="I158" s="1"/>
      <c r="J158" s="1"/>
      <c r="L158" s="87"/>
    </row>
    <row r="159" ht="15.75" customHeight="1">
      <c r="I159" s="1"/>
      <c r="J159" s="1"/>
      <c r="L159" s="87"/>
    </row>
    <row r="160" ht="15.75" customHeight="1">
      <c r="I160" s="1"/>
      <c r="J160" s="1"/>
      <c r="L160" s="87"/>
    </row>
    <row r="161" ht="15.75" customHeight="1">
      <c r="I161" s="1"/>
      <c r="J161" s="1"/>
      <c r="L161" s="87"/>
    </row>
    <row r="162" ht="15.75" customHeight="1">
      <c r="I162" s="1"/>
      <c r="J162" s="1"/>
      <c r="L162" s="87"/>
    </row>
    <row r="163" ht="15.75" customHeight="1">
      <c r="I163" s="1"/>
      <c r="J163" s="1"/>
      <c r="L163" s="87"/>
    </row>
    <row r="164" ht="15.75" customHeight="1">
      <c r="I164" s="1"/>
      <c r="J164" s="1"/>
      <c r="L164" s="87"/>
    </row>
    <row r="165" ht="15.75" customHeight="1">
      <c r="I165" s="1"/>
      <c r="J165" s="1"/>
      <c r="L165" s="87"/>
    </row>
    <row r="166" ht="15.75" customHeight="1">
      <c r="I166" s="1"/>
      <c r="J166" s="1"/>
      <c r="L166" s="87"/>
    </row>
    <row r="167" ht="15.75" customHeight="1">
      <c r="I167" s="1"/>
      <c r="J167" s="1"/>
      <c r="L167" s="87"/>
    </row>
    <row r="168" ht="15.75" customHeight="1">
      <c r="I168" s="1"/>
      <c r="J168" s="1"/>
      <c r="L168" s="87"/>
    </row>
    <row r="169" ht="15.75" customHeight="1">
      <c r="I169" s="1"/>
      <c r="J169" s="1"/>
      <c r="L169" s="87"/>
    </row>
    <row r="170" ht="15.75" customHeight="1">
      <c r="I170" s="1"/>
      <c r="J170" s="1"/>
      <c r="L170" s="87"/>
    </row>
    <row r="171" ht="15.75" customHeight="1">
      <c r="I171" s="1"/>
      <c r="J171" s="1"/>
      <c r="L171" s="87"/>
    </row>
    <row r="172" ht="15.75" customHeight="1">
      <c r="I172" s="1"/>
      <c r="J172" s="1"/>
      <c r="L172" s="87"/>
    </row>
    <row r="173" ht="15.75" customHeight="1">
      <c r="I173" s="1"/>
      <c r="J173" s="1"/>
      <c r="L173" s="87"/>
    </row>
    <row r="174" ht="15.75" customHeight="1">
      <c r="I174" s="1"/>
      <c r="J174" s="1"/>
      <c r="L174" s="87"/>
    </row>
    <row r="175" ht="15.75" customHeight="1">
      <c r="I175" s="1"/>
      <c r="J175" s="1"/>
      <c r="L175" s="87"/>
    </row>
    <row r="176" ht="15.75" customHeight="1">
      <c r="I176" s="1"/>
      <c r="J176" s="1"/>
      <c r="L176" s="87"/>
    </row>
    <row r="177" ht="15.75" customHeight="1">
      <c r="I177" s="1"/>
      <c r="J177" s="1"/>
      <c r="L177" s="87"/>
    </row>
    <row r="178" ht="15.75" customHeight="1">
      <c r="I178" s="1"/>
      <c r="J178" s="1"/>
      <c r="L178" s="87"/>
    </row>
    <row r="179" ht="15.75" customHeight="1">
      <c r="I179" s="1"/>
      <c r="J179" s="1"/>
      <c r="L179" s="87"/>
    </row>
    <row r="180" ht="15.75" customHeight="1">
      <c r="I180" s="1"/>
      <c r="J180" s="1"/>
      <c r="L180" s="87"/>
    </row>
    <row r="181" ht="15.75" customHeight="1">
      <c r="I181" s="1"/>
      <c r="J181" s="1"/>
      <c r="L181" s="87"/>
    </row>
    <row r="182" ht="15.75" customHeight="1">
      <c r="I182" s="1"/>
      <c r="J182" s="1"/>
      <c r="L182" s="87"/>
    </row>
    <row r="183" ht="15.75" customHeight="1">
      <c r="I183" s="1"/>
      <c r="J183" s="1"/>
      <c r="L183" s="87"/>
    </row>
    <row r="184" ht="15.75" customHeight="1">
      <c r="I184" s="1"/>
      <c r="J184" s="1"/>
      <c r="L184" s="87"/>
    </row>
    <row r="185" ht="15.75" customHeight="1">
      <c r="I185" s="1"/>
      <c r="J185" s="1"/>
      <c r="L185" s="87"/>
    </row>
    <row r="186" ht="15.75" customHeight="1">
      <c r="I186" s="1"/>
      <c r="J186" s="1"/>
      <c r="L186" s="87"/>
    </row>
    <row r="187" ht="15.75" customHeight="1">
      <c r="I187" s="1"/>
      <c r="J187" s="1"/>
      <c r="L187" s="87"/>
    </row>
    <row r="188" ht="15.75" customHeight="1">
      <c r="I188" s="1"/>
      <c r="J188" s="1"/>
      <c r="L188" s="87"/>
    </row>
    <row r="189" ht="15.75" customHeight="1">
      <c r="I189" s="1"/>
      <c r="J189" s="1"/>
      <c r="L189" s="87"/>
    </row>
    <row r="190" ht="15.75" customHeight="1">
      <c r="I190" s="1"/>
      <c r="J190" s="1"/>
      <c r="L190" s="87"/>
    </row>
    <row r="191" ht="15.75" customHeight="1">
      <c r="I191" s="1"/>
      <c r="J191" s="1"/>
      <c r="L191" s="87"/>
    </row>
    <row r="192" ht="15.75" customHeight="1">
      <c r="I192" s="1"/>
      <c r="J192" s="1"/>
      <c r="L192" s="87"/>
    </row>
    <row r="193" ht="15.75" customHeight="1">
      <c r="I193" s="1"/>
      <c r="J193" s="1"/>
      <c r="L193" s="87"/>
    </row>
    <row r="194" ht="15.75" customHeight="1">
      <c r="I194" s="1"/>
      <c r="J194" s="1"/>
      <c r="L194" s="87"/>
    </row>
    <row r="195" ht="15.75" customHeight="1">
      <c r="I195" s="1"/>
      <c r="J195" s="1"/>
      <c r="L195" s="87"/>
    </row>
    <row r="196" ht="15.75" customHeight="1">
      <c r="I196" s="1"/>
      <c r="J196" s="1"/>
      <c r="L196" s="87"/>
    </row>
    <row r="197" ht="15.75" customHeight="1">
      <c r="I197" s="1"/>
      <c r="J197" s="1"/>
      <c r="L197" s="87"/>
    </row>
    <row r="198" ht="15.75" customHeight="1">
      <c r="I198" s="1"/>
      <c r="J198" s="1"/>
      <c r="L198" s="87"/>
    </row>
    <row r="199" ht="15.75" customHeight="1">
      <c r="I199" s="1"/>
      <c r="J199" s="1"/>
      <c r="L199" s="87"/>
    </row>
    <row r="200" ht="15.75" customHeight="1">
      <c r="I200" s="1"/>
      <c r="J200" s="1"/>
      <c r="L200" s="87"/>
    </row>
    <row r="201" ht="15.75" customHeight="1">
      <c r="I201" s="1"/>
      <c r="J201" s="1"/>
      <c r="L201" s="87"/>
    </row>
    <row r="202" ht="15.75" customHeight="1">
      <c r="I202" s="1"/>
      <c r="J202" s="1"/>
      <c r="L202" s="87"/>
    </row>
    <row r="203" ht="15.75" customHeight="1">
      <c r="I203" s="1"/>
      <c r="J203" s="1"/>
      <c r="L203" s="87"/>
    </row>
    <row r="204" ht="15.75" customHeight="1">
      <c r="I204" s="1"/>
      <c r="J204" s="1"/>
      <c r="L204" s="87"/>
    </row>
    <row r="205" ht="15.75" customHeight="1">
      <c r="I205" s="1"/>
      <c r="J205" s="1"/>
      <c r="L205" s="87"/>
    </row>
    <row r="206" ht="15.75" customHeight="1">
      <c r="I206" s="1"/>
      <c r="J206" s="1"/>
      <c r="L206" s="87"/>
    </row>
    <row r="207" ht="15.75" customHeight="1">
      <c r="I207" s="1"/>
      <c r="J207" s="1"/>
      <c r="L207" s="87"/>
    </row>
    <row r="208" ht="15.75" customHeight="1">
      <c r="I208" s="1"/>
      <c r="J208" s="1"/>
      <c r="L208" s="87"/>
    </row>
    <row r="209" ht="15.75" customHeight="1">
      <c r="I209" s="1"/>
      <c r="J209" s="1"/>
      <c r="L209" s="87"/>
    </row>
    <row r="210" ht="15.75" customHeight="1">
      <c r="I210" s="1"/>
      <c r="J210" s="1"/>
      <c r="L210" s="87"/>
    </row>
    <row r="211" ht="15.75" customHeight="1">
      <c r="I211" s="1"/>
      <c r="J211" s="1"/>
      <c r="L211" s="87"/>
    </row>
    <row r="212" ht="15.75" customHeight="1">
      <c r="I212" s="1"/>
      <c r="J212" s="1"/>
      <c r="L212" s="87"/>
    </row>
    <row r="213" ht="15.75" customHeight="1">
      <c r="I213" s="1"/>
      <c r="J213" s="1"/>
      <c r="L213" s="87"/>
    </row>
    <row r="214" ht="15.75" customHeight="1">
      <c r="I214" s="1"/>
      <c r="J214" s="1"/>
      <c r="L214" s="87"/>
    </row>
    <row r="215" ht="15.75" customHeight="1">
      <c r="I215" s="1"/>
      <c r="J215" s="1"/>
      <c r="L215" s="87"/>
    </row>
    <row r="216" ht="15.75" customHeight="1">
      <c r="I216" s="1"/>
      <c r="J216" s="1"/>
      <c r="L216" s="87"/>
    </row>
    <row r="217" ht="15.75" customHeight="1">
      <c r="I217" s="1"/>
      <c r="J217" s="1"/>
      <c r="L217" s="87"/>
    </row>
    <row r="218" ht="15.75" customHeight="1">
      <c r="I218" s="1"/>
      <c r="J218" s="1"/>
      <c r="L218" s="87"/>
    </row>
    <row r="219" ht="15.75" customHeight="1">
      <c r="I219" s="1"/>
      <c r="J219" s="1"/>
      <c r="L219" s="87"/>
    </row>
    <row r="220" ht="15.75" customHeight="1">
      <c r="I220" s="1"/>
      <c r="J220" s="1"/>
      <c r="L220" s="87"/>
    </row>
    <row r="221" ht="15.75" customHeight="1">
      <c r="I221" s="1"/>
      <c r="J221" s="1"/>
      <c r="L221" s="87"/>
    </row>
    <row r="222" ht="15.75" customHeight="1">
      <c r="I222" s="1"/>
      <c r="J222" s="1"/>
      <c r="L222" s="87"/>
    </row>
    <row r="223" ht="15.75" customHeight="1">
      <c r="I223" s="1"/>
      <c r="J223" s="1"/>
      <c r="L223" s="87"/>
    </row>
    <row r="224" ht="15.75" customHeight="1">
      <c r="I224" s="1"/>
      <c r="J224" s="1"/>
      <c r="L224" s="87"/>
    </row>
    <row r="225" ht="15.75" customHeight="1">
      <c r="I225" s="1"/>
      <c r="J225" s="1"/>
      <c r="L225" s="87"/>
    </row>
    <row r="226" ht="15.75" customHeight="1">
      <c r="I226" s="1"/>
      <c r="J226" s="1"/>
      <c r="L226" s="87"/>
    </row>
    <row r="227" ht="15.75" customHeight="1">
      <c r="I227" s="1"/>
      <c r="J227" s="1"/>
      <c r="L227" s="87"/>
    </row>
    <row r="228" ht="15.75" customHeight="1">
      <c r="I228" s="1"/>
      <c r="J228" s="1"/>
      <c r="L228" s="87"/>
    </row>
    <row r="229" ht="15.75" customHeight="1">
      <c r="I229" s="1"/>
      <c r="J229" s="1"/>
      <c r="L229" s="87"/>
    </row>
    <row r="230" ht="15.75" customHeight="1">
      <c r="I230" s="1"/>
      <c r="J230" s="1"/>
      <c r="L230" s="87"/>
    </row>
    <row r="231" ht="15.75" customHeight="1">
      <c r="I231" s="1"/>
      <c r="J231" s="1"/>
      <c r="L231" s="87"/>
    </row>
    <row r="232" ht="15.75" customHeight="1">
      <c r="I232" s="1"/>
      <c r="J232" s="1"/>
      <c r="L232" s="87"/>
    </row>
    <row r="233" ht="15.75" customHeight="1">
      <c r="I233" s="1"/>
      <c r="J233" s="1"/>
      <c r="L233" s="87"/>
    </row>
    <row r="234" ht="15.75" customHeight="1">
      <c r="I234" s="1"/>
      <c r="J234" s="1"/>
      <c r="L234" s="87"/>
    </row>
    <row r="235" ht="15.75" customHeight="1">
      <c r="I235" s="1"/>
      <c r="J235" s="1"/>
      <c r="L235" s="87"/>
    </row>
    <row r="236" ht="15.75" customHeight="1">
      <c r="I236" s="1"/>
      <c r="J236" s="1"/>
      <c r="L236" s="87"/>
    </row>
    <row r="237" ht="15.75" customHeight="1">
      <c r="I237" s="1"/>
      <c r="J237" s="1"/>
      <c r="L237" s="87"/>
    </row>
    <row r="238" ht="15.75" customHeight="1">
      <c r="I238" s="1"/>
      <c r="J238" s="1"/>
      <c r="L238" s="87"/>
    </row>
    <row r="239" ht="15.75" customHeight="1">
      <c r="I239" s="1"/>
      <c r="J239" s="1"/>
      <c r="L239" s="87"/>
    </row>
    <row r="240" ht="15.75" customHeight="1">
      <c r="I240" s="1"/>
      <c r="J240" s="1"/>
      <c r="L240" s="87"/>
    </row>
    <row r="241" ht="15.75" customHeight="1">
      <c r="I241" s="1"/>
      <c r="J241" s="1"/>
      <c r="L241" s="87"/>
    </row>
    <row r="242" ht="15.75" customHeight="1">
      <c r="I242" s="1"/>
      <c r="J242" s="1"/>
      <c r="L242" s="87"/>
    </row>
    <row r="243" ht="15.75" customHeight="1">
      <c r="I243" s="1"/>
      <c r="J243" s="1"/>
      <c r="L243" s="87"/>
    </row>
    <row r="244" ht="15.75" customHeight="1">
      <c r="I244" s="1"/>
      <c r="J244" s="1"/>
      <c r="L244" s="87"/>
    </row>
    <row r="245" ht="15.75" customHeight="1">
      <c r="I245" s="1"/>
      <c r="J245" s="1"/>
      <c r="L245" s="87"/>
    </row>
    <row r="246" ht="15.75" customHeight="1">
      <c r="I246" s="1"/>
      <c r="J246" s="1"/>
      <c r="L246" s="87"/>
    </row>
    <row r="247" ht="15.75" customHeight="1">
      <c r="I247" s="1"/>
      <c r="J247" s="1"/>
      <c r="L247" s="87"/>
    </row>
    <row r="248" ht="15.75" customHeight="1">
      <c r="I248" s="1"/>
      <c r="J248" s="1"/>
      <c r="L248" s="87"/>
    </row>
    <row r="249" ht="15.75" customHeight="1">
      <c r="I249" s="1"/>
      <c r="J249" s="1"/>
      <c r="L249" s="87"/>
    </row>
    <row r="250" ht="15.75" customHeight="1">
      <c r="I250" s="1"/>
      <c r="J250" s="1"/>
      <c r="L250" s="87"/>
    </row>
    <row r="251" ht="15.75" customHeight="1">
      <c r="I251" s="1"/>
      <c r="J251" s="1"/>
      <c r="L251" s="87"/>
    </row>
    <row r="252" ht="15.75" customHeight="1">
      <c r="I252" s="1"/>
      <c r="J252" s="1"/>
      <c r="L252" s="87"/>
    </row>
    <row r="253" ht="15.75" customHeight="1">
      <c r="I253" s="1"/>
      <c r="J253" s="1"/>
      <c r="L253" s="87"/>
    </row>
    <row r="254" ht="15.75" customHeight="1">
      <c r="I254" s="1"/>
      <c r="J254" s="1"/>
      <c r="L254" s="87"/>
    </row>
    <row r="255" ht="15.75" customHeight="1">
      <c r="I255" s="1"/>
      <c r="J255" s="1"/>
      <c r="L255" s="87"/>
    </row>
    <row r="256" ht="15.75" customHeight="1">
      <c r="I256" s="1"/>
      <c r="J256" s="1"/>
      <c r="L256" s="87"/>
    </row>
    <row r="257" ht="15.75" customHeight="1">
      <c r="I257" s="1"/>
      <c r="J257" s="1"/>
      <c r="L257" s="87"/>
    </row>
    <row r="258" ht="15.75" customHeight="1">
      <c r="I258" s="1"/>
      <c r="J258" s="1"/>
      <c r="L258" s="87"/>
    </row>
    <row r="259" ht="15.75" customHeight="1">
      <c r="I259" s="1"/>
      <c r="J259" s="1"/>
      <c r="L259" s="87"/>
    </row>
    <row r="260" ht="15.75" customHeight="1">
      <c r="I260" s="1"/>
      <c r="J260" s="1"/>
      <c r="L260" s="87"/>
    </row>
    <row r="261" ht="15.75" customHeight="1">
      <c r="I261" s="1"/>
      <c r="J261" s="1"/>
      <c r="L261" s="87"/>
    </row>
    <row r="262" ht="15.75" customHeight="1">
      <c r="I262" s="1"/>
      <c r="J262" s="1"/>
      <c r="L262" s="87"/>
    </row>
    <row r="263" ht="15.75" customHeight="1">
      <c r="I263" s="1"/>
      <c r="J263" s="1"/>
      <c r="L263" s="87"/>
    </row>
    <row r="264" ht="15.75" customHeight="1">
      <c r="I264" s="1"/>
      <c r="J264" s="1"/>
      <c r="L264" s="87"/>
    </row>
    <row r="265" ht="15.75" customHeight="1">
      <c r="I265" s="1"/>
      <c r="J265" s="1"/>
      <c r="L265" s="87"/>
    </row>
    <row r="266" ht="15.75" customHeight="1">
      <c r="I266" s="1"/>
      <c r="J266" s="1"/>
      <c r="L266" s="87"/>
    </row>
    <row r="267" ht="15.75" customHeight="1">
      <c r="I267" s="1"/>
      <c r="J267" s="1"/>
      <c r="L267" s="87"/>
    </row>
    <row r="268" ht="15.75" customHeight="1">
      <c r="I268" s="1"/>
      <c r="J268" s="1"/>
      <c r="L268" s="87"/>
    </row>
    <row r="269" ht="15.75" customHeight="1">
      <c r="I269" s="1"/>
      <c r="J269" s="1"/>
      <c r="L269" s="87"/>
    </row>
    <row r="270" ht="15.75" customHeight="1">
      <c r="I270" s="1"/>
      <c r="J270" s="1"/>
      <c r="L270" s="87"/>
    </row>
    <row r="271" ht="15.75" customHeight="1">
      <c r="I271" s="1"/>
      <c r="J271" s="1"/>
      <c r="L271" s="87"/>
    </row>
    <row r="272" ht="15.75" customHeight="1">
      <c r="I272" s="1"/>
      <c r="J272" s="1"/>
      <c r="L272" s="87"/>
    </row>
    <row r="273" ht="15.75" customHeight="1">
      <c r="I273" s="1"/>
      <c r="J273" s="1"/>
      <c r="L273" s="87"/>
    </row>
    <row r="274" ht="15.75" customHeight="1">
      <c r="I274" s="1"/>
      <c r="J274" s="1"/>
      <c r="L274" s="87"/>
    </row>
    <row r="275" ht="15.75" customHeight="1">
      <c r="I275" s="1"/>
      <c r="J275" s="1"/>
      <c r="L275" s="87"/>
    </row>
    <row r="276" ht="15.75" customHeight="1">
      <c r="I276" s="1"/>
      <c r="J276" s="1"/>
      <c r="L276" s="87"/>
    </row>
    <row r="277" ht="15.75" customHeight="1">
      <c r="I277" s="1"/>
      <c r="J277" s="1"/>
      <c r="L277" s="87"/>
    </row>
    <row r="278" ht="15.75" customHeight="1">
      <c r="I278" s="1"/>
      <c r="J278" s="1"/>
      <c r="L278" s="87"/>
    </row>
    <row r="279" ht="15.75" customHeight="1">
      <c r="I279" s="1"/>
      <c r="J279" s="1"/>
      <c r="L279" s="87"/>
    </row>
    <row r="280" ht="15.75" customHeight="1">
      <c r="I280" s="1"/>
      <c r="J280" s="1"/>
      <c r="L280" s="87"/>
    </row>
    <row r="281" ht="15.75" customHeight="1">
      <c r="I281" s="1"/>
      <c r="J281" s="1"/>
      <c r="L281" s="87"/>
    </row>
    <row r="282" ht="15.75" customHeight="1">
      <c r="I282" s="1"/>
      <c r="J282" s="1"/>
      <c r="L282" s="87"/>
    </row>
    <row r="283" ht="15.75" customHeight="1">
      <c r="I283" s="1"/>
      <c r="J283" s="1"/>
      <c r="L283" s="87"/>
    </row>
    <row r="284" ht="15.75" customHeight="1">
      <c r="I284" s="1"/>
      <c r="J284" s="1"/>
      <c r="L284" s="87"/>
    </row>
    <row r="285" ht="15.75" customHeight="1">
      <c r="I285" s="1"/>
      <c r="J285" s="1"/>
      <c r="L285" s="87"/>
    </row>
    <row r="286" ht="15.75" customHeight="1">
      <c r="I286" s="1"/>
      <c r="J286" s="1"/>
      <c r="L286" s="87"/>
    </row>
    <row r="287" ht="15.75" customHeight="1">
      <c r="I287" s="1"/>
      <c r="J287" s="1"/>
      <c r="L287" s="87"/>
    </row>
    <row r="288" ht="15.75" customHeight="1">
      <c r="I288" s="1"/>
      <c r="J288" s="1"/>
      <c r="L288" s="87"/>
    </row>
    <row r="289" ht="15.75" customHeight="1">
      <c r="I289" s="1"/>
      <c r="J289" s="1"/>
      <c r="L289" s="87"/>
    </row>
    <row r="290" ht="15.75" customHeight="1">
      <c r="I290" s="1"/>
      <c r="J290" s="1"/>
      <c r="L290" s="87"/>
    </row>
    <row r="291" ht="15.75" customHeight="1">
      <c r="I291" s="1"/>
      <c r="J291" s="1"/>
      <c r="L291" s="87"/>
    </row>
    <row r="292" ht="15.75" customHeight="1">
      <c r="I292" s="1"/>
      <c r="J292" s="1"/>
      <c r="L292" s="87"/>
    </row>
    <row r="293" ht="15.75" customHeight="1">
      <c r="I293" s="1"/>
      <c r="J293" s="1"/>
      <c r="L293" s="87"/>
    </row>
    <row r="294" ht="15.75" customHeight="1">
      <c r="I294" s="1"/>
      <c r="J294" s="1"/>
      <c r="L294" s="87"/>
    </row>
    <row r="295" ht="15.75" customHeight="1">
      <c r="I295" s="1"/>
      <c r="J295" s="1"/>
      <c r="L295" s="87"/>
    </row>
    <row r="296" ht="15.75" customHeight="1">
      <c r="I296" s="1"/>
      <c r="J296" s="1"/>
      <c r="L296" s="87"/>
    </row>
    <row r="297" ht="15.75" customHeight="1">
      <c r="I297" s="1"/>
      <c r="J297" s="1"/>
      <c r="L297" s="87"/>
    </row>
    <row r="298" ht="15.75" customHeight="1">
      <c r="I298" s="1"/>
      <c r="J298" s="1"/>
      <c r="L298" s="87"/>
    </row>
    <row r="299" ht="15.75" customHeight="1">
      <c r="I299" s="1"/>
      <c r="J299" s="1"/>
      <c r="L299" s="87"/>
    </row>
    <row r="300" ht="15.75" customHeight="1">
      <c r="I300" s="1"/>
      <c r="J300" s="1"/>
      <c r="L300" s="87"/>
    </row>
    <row r="301" ht="15.75" customHeight="1">
      <c r="I301" s="1"/>
      <c r="J301" s="1"/>
      <c r="L301" s="87"/>
    </row>
    <row r="302" ht="15.75" customHeight="1">
      <c r="I302" s="1"/>
      <c r="J302" s="1"/>
      <c r="L302" s="87"/>
    </row>
    <row r="303" ht="15.75" customHeight="1">
      <c r="I303" s="1"/>
      <c r="J303" s="1"/>
      <c r="L303" s="87"/>
    </row>
    <row r="304" ht="15.75" customHeight="1">
      <c r="I304" s="1"/>
      <c r="J304" s="1"/>
      <c r="L304" s="87"/>
    </row>
    <row r="305" ht="15.75" customHeight="1">
      <c r="I305" s="1"/>
      <c r="J305" s="1"/>
      <c r="L305" s="87"/>
    </row>
    <row r="306" ht="15.75" customHeight="1">
      <c r="I306" s="1"/>
      <c r="J306" s="1"/>
      <c r="L306" s="87"/>
    </row>
    <row r="307" ht="15.75" customHeight="1">
      <c r="I307" s="1"/>
      <c r="J307" s="1"/>
      <c r="L307" s="87"/>
    </row>
    <row r="308" ht="15.75" customHeight="1">
      <c r="I308" s="1"/>
      <c r="J308" s="1"/>
      <c r="L308" s="87"/>
    </row>
    <row r="309" ht="15.75" customHeight="1">
      <c r="I309" s="1"/>
      <c r="J309" s="1"/>
      <c r="L309" s="87"/>
    </row>
    <row r="310" ht="15.75" customHeight="1">
      <c r="I310" s="1"/>
      <c r="J310" s="1"/>
      <c r="L310" s="87"/>
    </row>
    <row r="311" ht="15.75" customHeight="1">
      <c r="I311" s="1"/>
      <c r="J311" s="1"/>
      <c r="L311" s="87"/>
    </row>
    <row r="312" ht="15.75" customHeight="1">
      <c r="I312" s="1"/>
      <c r="J312" s="1"/>
      <c r="L312" s="87"/>
    </row>
    <row r="313" ht="15.75" customHeight="1">
      <c r="I313" s="1"/>
      <c r="J313" s="1"/>
      <c r="L313" s="87"/>
    </row>
    <row r="314" ht="15.75" customHeight="1">
      <c r="I314" s="1"/>
      <c r="J314" s="1"/>
      <c r="L314" s="87"/>
    </row>
    <row r="315" ht="15.75" customHeight="1">
      <c r="I315" s="1"/>
      <c r="J315" s="1"/>
      <c r="L315" s="87"/>
    </row>
    <row r="316" ht="15.75" customHeight="1">
      <c r="I316" s="1"/>
      <c r="J316" s="1"/>
      <c r="L316" s="87"/>
    </row>
    <row r="317" ht="15.75" customHeight="1">
      <c r="I317" s="1"/>
      <c r="J317" s="1"/>
      <c r="L317" s="87"/>
    </row>
    <row r="318" ht="15.75" customHeight="1">
      <c r="I318" s="1"/>
      <c r="J318" s="1"/>
      <c r="L318" s="87"/>
    </row>
    <row r="319" ht="15.75" customHeight="1">
      <c r="I319" s="1"/>
      <c r="J319" s="1"/>
      <c r="L319" s="87"/>
    </row>
    <row r="320" ht="15.75" customHeight="1">
      <c r="I320" s="1"/>
      <c r="J320" s="1"/>
      <c r="L320" s="87"/>
    </row>
    <row r="321" ht="15.75" customHeight="1">
      <c r="I321" s="1"/>
      <c r="J321" s="1"/>
      <c r="L321" s="87"/>
    </row>
    <row r="322" ht="15.75" customHeight="1">
      <c r="I322" s="1"/>
      <c r="J322" s="1"/>
      <c r="L322" s="87"/>
    </row>
    <row r="323" ht="15.75" customHeight="1">
      <c r="I323" s="1"/>
      <c r="J323" s="1"/>
      <c r="L323" s="87"/>
    </row>
    <row r="324" ht="15.75" customHeight="1">
      <c r="I324" s="1"/>
      <c r="J324" s="1"/>
      <c r="L324" s="87"/>
    </row>
    <row r="325" ht="15.75" customHeight="1">
      <c r="I325" s="1"/>
      <c r="J325" s="1"/>
      <c r="L325" s="87"/>
    </row>
    <row r="326" ht="15.75" customHeight="1">
      <c r="I326" s="1"/>
      <c r="J326" s="1"/>
      <c r="L326" s="87"/>
    </row>
    <row r="327" ht="15.75" customHeight="1">
      <c r="I327" s="1"/>
      <c r="J327" s="1"/>
      <c r="L327" s="87"/>
    </row>
    <row r="328" ht="15.75" customHeight="1">
      <c r="I328" s="1"/>
      <c r="J328" s="1"/>
      <c r="L328" s="87"/>
    </row>
    <row r="329" ht="15.75" customHeight="1">
      <c r="I329" s="1"/>
      <c r="J329" s="1"/>
      <c r="L329" s="87"/>
    </row>
    <row r="330" ht="15.75" customHeight="1">
      <c r="I330" s="1"/>
      <c r="J330" s="1"/>
      <c r="L330" s="87"/>
    </row>
    <row r="331" ht="15.75" customHeight="1">
      <c r="I331" s="1"/>
      <c r="J331" s="1"/>
      <c r="L331" s="87"/>
    </row>
    <row r="332" ht="15.75" customHeight="1">
      <c r="I332" s="1"/>
      <c r="J332" s="1"/>
      <c r="L332" s="87"/>
    </row>
    <row r="333" ht="15.75" customHeight="1">
      <c r="I333" s="1"/>
      <c r="J333" s="1"/>
      <c r="L333" s="87"/>
    </row>
    <row r="334" ht="15.75" customHeight="1">
      <c r="I334" s="1"/>
      <c r="J334" s="1"/>
      <c r="L334" s="87"/>
    </row>
    <row r="335" ht="15.75" customHeight="1">
      <c r="I335" s="1"/>
      <c r="J335" s="1"/>
      <c r="L335" s="87"/>
    </row>
    <row r="336" ht="15.75" customHeight="1">
      <c r="I336" s="1"/>
      <c r="J336" s="1"/>
      <c r="L336" s="87"/>
    </row>
    <row r="337" ht="15.75" customHeight="1">
      <c r="I337" s="1"/>
      <c r="J337" s="1"/>
      <c r="L337" s="87"/>
    </row>
    <row r="338" ht="15.75" customHeight="1">
      <c r="I338" s="1"/>
      <c r="J338" s="1"/>
      <c r="L338" s="87"/>
    </row>
    <row r="339" ht="15.75" customHeight="1">
      <c r="I339" s="1"/>
      <c r="J339" s="1"/>
      <c r="L339" s="87"/>
    </row>
    <row r="340" ht="15.75" customHeight="1">
      <c r="I340" s="1"/>
      <c r="J340" s="1"/>
      <c r="L340" s="87"/>
    </row>
    <row r="341" ht="15.75" customHeight="1">
      <c r="I341" s="1"/>
      <c r="J341" s="1"/>
      <c r="L341" s="87"/>
    </row>
    <row r="342" ht="15.75" customHeight="1">
      <c r="I342" s="1"/>
      <c r="J342" s="1"/>
      <c r="L342" s="87"/>
    </row>
    <row r="343" ht="15.75" customHeight="1">
      <c r="I343" s="1"/>
      <c r="J343" s="1"/>
      <c r="L343" s="87"/>
    </row>
    <row r="344" ht="15.75" customHeight="1">
      <c r="I344" s="1"/>
      <c r="J344" s="1"/>
      <c r="L344" s="87"/>
    </row>
    <row r="345" ht="15.75" customHeight="1">
      <c r="I345" s="1"/>
      <c r="J345" s="1"/>
      <c r="L345" s="87"/>
    </row>
    <row r="346" ht="15.75" customHeight="1">
      <c r="I346" s="1"/>
      <c r="J346" s="1"/>
      <c r="L346" s="87"/>
    </row>
    <row r="347" ht="15.75" customHeight="1">
      <c r="I347" s="1"/>
      <c r="J347" s="1"/>
      <c r="L347" s="87"/>
    </row>
    <row r="348" ht="15.75" customHeight="1">
      <c r="I348" s="1"/>
      <c r="J348" s="1"/>
      <c r="L348" s="87"/>
    </row>
    <row r="349" ht="15.75" customHeight="1">
      <c r="I349" s="1"/>
      <c r="J349" s="1"/>
      <c r="L349" s="87"/>
    </row>
    <row r="350" ht="15.75" customHeight="1">
      <c r="I350" s="1"/>
      <c r="J350" s="1"/>
      <c r="L350" s="87"/>
    </row>
    <row r="351" ht="15.75" customHeight="1">
      <c r="I351" s="1"/>
      <c r="J351" s="1"/>
      <c r="L351" s="87"/>
    </row>
    <row r="352" ht="15.75" customHeight="1">
      <c r="I352" s="1"/>
      <c r="J352" s="1"/>
      <c r="L352" s="87"/>
    </row>
    <row r="353" ht="15.75" customHeight="1">
      <c r="I353" s="1"/>
      <c r="J353" s="1"/>
      <c r="L353" s="87"/>
    </row>
    <row r="354" ht="15.75" customHeight="1">
      <c r="I354" s="1"/>
      <c r="J354" s="1"/>
      <c r="L354" s="87"/>
    </row>
    <row r="355" ht="15.75" customHeight="1">
      <c r="I355" s="1"/>
      <c r="J355" s="1"/>
      <c r="L355" s="87"/>
    </row>
    <row r="356" ht="15.75" customHeight="1">
      <c r="I356" s="1"/>
      <c r="J356" s="1"/>
      <c r="L356" s="87"/>
    </row>
    <row r="357" ht="15.75" customHeight="1">
      <c r="I357" s="1"/>
      <c r="J357" s="1"/>
      <c r="L357" s="87"/>
    </row>
    <row r="358" ht="15.75" customHeight="1">
      <c r="I358" s="1"/>
      <c r="J358" s="1"/>
      <c r="L358" s="87"/>
    </row>
    <row r="359" ht="15.75" customHeight="1">
      <c r="I359" s="1"/>
      <c r="J359" s="1"/>
      <c r="L359" s="87"/>
    </row>
    <row r="360" ht="15.75" customHeight="1">
      <c r="I360" s="1"/>
      <c r="J360" s="1"/>
      <c r="L360" s="87"/>
    </row>
    <row r="361" ht="15.75" customHeight="1">
      <c r="I361" s="1"/>
      <c r="J361" s="1"/>
      <c r="L361" s="87"/>
    </row>
    <row r="362" ht="15.75" customHeight="1">
      <c r="I362" s="1"/>
      <c r="J362" s="1"/>
      <c r="L362" s="87"/>
    </row>
    <row r="363" ht="15.75" customHeight="1">
      <c r="I363" s="1"/>
      <c r="J363" s="1"/>
      <c r="L363" s="87"/>
    </row>
    <row r="364" ht="15.75" customHeight="1">
      <c r="I364" s="1"/>
      <c r="J364" s="1"/>
      <c r="L364" s="87"/>
    </row>
    <row r="365" ht="15.75" customHeight="1">
      <c r="I365" s="1"/>
      <c r="J365" s="1"/>
      <c r="L365" s="87"/>
    </row>
    <row r="366" ht="15.75" customHeight="1">
      <c r="I366" s="1"/>
      <c r="J366" s="1"/>
      <c r="L366" s="87"/>
    </row>
    <row r="367" ht="15.75" customHeight="1">
      <c r="I367" s="1"/>
      <c r="J367" s="1"/>
      <c r="L367" s="87"/>
    </row>
    <row r="368" ht="15.75" customHeight="1">
      <c r="I368" s="1"/>
      <c r="J368" s="1"/>
      <c r="L368" s="87"/>
    </row>
    <row r="369" ht="15.75" customHeight="1">
      <c r="I369" s="1"/>
      <c r="J369" s="1"/>
      <c r="L369" s="87"/>
    </row>
    <row r="370" ht="15.75" customHeight="1">
      <c r="I370" s="1"/>
      <c r="J370" s="1"/>
      <c r="L370" s="87"/>
    </row>
    <row r="371" ht="15.75" customHeight="1">
      <c r="I371" s="1"/>
      <c r="J371" s="1"/>
      <c r="L371" s="87"/>
    </row>
    <row r="372" ht="15.75" customHeight="1">
      <c r="I372" s="1"/>
      <c r="J372" s="1"/>
      <c r="L372" s="87"/>
    </row>
    <row r="373" ht="15.75" customHeight="1">
      <c r="I373" s="1"/>
      <c r="J373" s="1"/>
      <c r="L373" s="87"/>
    </row>
    <row r="374" ht="15.75" customHeight="1">
      <c r="I374" s="1"/>
      <c r="J374" s="1"/>
      <c r="L374" s="87"/>
    </row>
    <row r="375" ht="15.75" customHeight="1">
      <c r="I375" s="1"/>
      <c r="J375" s="1"/>
      <c r="L375" s="87"/>
    </row>
    <row r="376" ht="15.75" customHeight="1">
      <c r="I376" s="1"/>
      <c r="J376" s="1"/>
      <c r="L376" s="87"/>
    </row>
    <row r="377" ht="15.75" customHeight="1">
      <c r="I377" s="1"/>
      <c r="J377" s="1"/>
      <c r="L377" s="87"/>
    </row>
    <row r="378" ht="15.75" customHeight="1">
      <c r="I378" s="1"/>
      <c r="J378" s="1"/>
      <c r="L378" s="87"/>
    </row>
    <row r="379" ht="15.75" customHeight="1">
      <c r="I379" s="1"/>
      <c r="J379" s="1"/>
      <c r="L379" s="87"/>
    </row>
    <row r="380" ht="15.75" customHeight="1">
      <c r="I380" s="1"/>
      <c r="J380" s="1"/>
      <c r="L380" s="87"/>
    </row>
    <row r="381" ht="15.75" customHeight="1">
      <c r="I381" s="1"/>
      <c r="J381" s="1"/>
      <c r="L381" s="87"/>
    </row>
    <row r="382" ht="15.75" customHeight="1">
      <c r="I382" s="1"/>
      <c r="J382" s="1"/>
      <c r="L382" s="87"/>
    </row>
    <row r="383" ht="15.75" customHeight="1">
      <c r="I383" s="1"/>
      <c r="J383" s="1"/>
      <c r="L383" s="87"/>
    </row>
    <row r="384" ht="15.75" customHeight="1">
      <c r="I384" s="1"/>
      <c r="J384" s="1"/>
      <c r="L384" s="87"/>
    </row>
    <row r="385" ht="15.75" customHeight="1">
      <c r="I385" s="1"/>
      <c r="J385" s="1"/>
      <c r="L385" s="87"/>
    </row>
    <row r="386" ht="15.75" customHeight="1">
      <c r="I386" s="1"/>
      <c r="J386" s="1"/>
      <c r="L386" s="87"/>
    </row>
    <row r="387" ht="15.75" customHeight="1">
      <c r="I387" s="1"/>
      <c r="J387" s="1"/>
      <c r="L387" s="87"/>
    </row>
    <row r="388" ht="15.75" customHeight="1">
      <c r="I388" s="1"/>
      <c r="J388" s="1"/>
      <c r="L388" s="87"/>
    </row>
    <row r="389" ht="15.75" customHeight="1">
      <c r="I389" s="1"/>
      <c r="J389" s="1"/>
      <c r="L389" s="87"/>
    </row>
    <row r="390" ht="15.75" customHeight="1">
      <c r="I390" s="1"/>
      <c r="J390" s="1"/>
      <c r="L390" s="87"/>
    </row>
    <row r="391" ht="15.75" customHeight="1">
      <c r="I391" s="1"/>
      <c r="J391" s="1"/>
      <c r="L391" s="87"/>
    </row>
    <row r="392" ht="15.75" customHeight="1">
      <c r="I392" s="1"/>
      <c r="J392" s="1"/>
      <c r="L392" s="87"/>
    </row>
    <row r="393" ht="15.75" customHeight="1">
      <c r="I393" s="1"/>
      <c r="J393" s="1"/>
      <c r="L393" s="87"/>
    </row>
    <row r="394" ht="15.75" customHeight="1">
      <c r="I394" s="1"/>
      <c r="J394" s="1"/>
      <c r="L394" s="87"/>
    </row>
    <row r="395" ht="15.75" customHeight="1">
      <c r="I395" s="1"/>
      <c r="J395" s="1"/>
      <c r="L395" s="87"/>
    </row>
    <row r="396" ht="15.75" customHeight="1">
      <c r="I396" s="1"/>
      <c r="J396" s="1"/>
      <c r="L396" s="87"/>
    </row>
    <row r="397" ht="15.75" customHeight="1">
      <c r="I397" s="1"/>
      <c r="J397" s="1"/>
      <c r="L397" s="87"/>
    </row>
    <row r="398" ht="15.75" customHeight="1">
      <c r="I398" s="1"/>
      <c r="J398" s="1"/>
      <c r="L398" s="87"/>
    </row>
    <row r="399" ht="15.75" customHeight="1">
      <c r="I399" s="1"/>
      <c r="J399" s="1"/>
      <c r="L399" s="87"/>
    </row>
    <row r="400" ht="15.75" customHeight="1">
      <c r="I400" s="1"/>
      <c r="J400" s="1"/>
      <c r="L400" s="87"/>
    </row>
    <row r="401" ht="15.75" customHeight="1">
      <c r="I401" s="1"/>
      <c r="J401" s="1"/>
      <c r="L401" s="87"/>
    </row>
    <row r="402" ht="15.75" customHeight="1">
      <c r="I402" s="1"/>
      <c r="J402" s="1"/>
      <c r="L402" s="87"/>
    </row>
    <row r="403" ht="15.75" customHeight="1">
      <c r="I403" s="1"/>
      <c r="J403" s="1"/>
      <c r="L403" s="87"/>
    </row>
    <row r="404" ht="15.75" customHeight="1">
      <c r="I404" s="1"/>
      <c r="J404" s="1"/>
      <c r="L404" s="87"/>
    </row>
    <row r="405" ht="15.75" customHeight="1">
      <c r="I405" s="1"/>
      <c r="J405" s="1"/>
      <c r="L405" s="87"/>
    </row>
    <row r="406" ht="15.75" customHeight="1">
      <c r="I406" s="1"/>
      <c r="J406" s="1"/>
      <c r="L406" s="87"/>
    </row>
    <row r="407" ht="15.75" customHeight="1">
      <c r="I407" s="1"/>
      <c r="J407" s="1"/>
      <c r="L407" s="87"/>
    </row>
    <row r="408" ht="15.75" customHeight="1">
      <c r="I408" s="1"/>
      <c r="J408" s="1"/>
      <c r="L408" s="87"/>
    </row>
    <row r="409" ht="15.75" customHeight="1">
      <c r="I409" s="1"/>
      <c r="J409" s="1"/>
      <c r="L409" s="87"/>
    </row>
    <row r="410" ht="15.75" customHeight="1">
      <c r="I410" s="1"/>
      <c r="J410" s="1"/>
      <c r="L410" s="87"/>
    </row>
    <row r="411" ht="15.75" customHeight="1">
      <c r="I411" s="1"/>
      <c r="J411" s="1"/>
      <c r="L411" s="87"/>
    </row>
    <row r="412" ht="15.75" customHeight="1">
      <c r="I412" s="1"/>
      <c r="J412" s="1"/>
      <c r="L412" s="87"/>
    </row>
    <row r="413" ht="15.75" customHeight="1">
      <c r="I413" s="1"/>
      <c r="J413" s="1"/>
      <c r="L413" s="87"/>
    </row>
    <row r="414" ht="15.75" customHeight="1">
      <c r="I414" s="1"/>
      <c r="J414" s="1"/>
      <c r="L414" s="87"/>
    </row>
    <row r="415" ht="15.75" customHeight="1">
      <c r="I415" s="1"/>
      <c r="J415" s="1"/>
      <c r="L415" s="87"/>
    </row>
    <row r="416" ht="15.75" customHeight="1">
      <c r="I416" s="1"/>
      <c r="J416" s="1"/>
      <c r="L416" s="87"/>
    </row>
    <row r="417" ht="15.75" customHeight="1">
      <c r="I417" s="1"/>
      <c r="J417" s="1"/>
      <c r="L417" s="87"/>
    </row>
    <row r="418" ht="15.75" customHeight="1">
      <c r="I418" s="1"/>
      <c r="J418" s="1"/>
      <c r="L418" s="87"/>
    </row>
    <row r="419" ht="15.75" customHeight="1">
      <c r="I419" s="1"/>
      <c r="J419" s="1"/>
      <c r="L419" s="87"/>
    </row>
    <row r="420" ht="15.75" customHeight="1">
      <c r="I420" s="1"/>
      <c r="J420" s="1"/>
      <c r="L420" s="87"/>
    </row>
    <row r="421" ht="15.75" customHeight="1">
      <c r="I421" s="1"/>
      <c r="J421" s="1"/>
      <c r="L421" s="87"/>
    </row>
    <row r="422" ht="15.75" customHeight="1">
      <c r="I422" s="1"/>
      <c r="J422" s="1"/>
      <c r="L422" s="87"/>
    </row>
    <row r="423" ht="15.75" customHeight="1">
      <c r="I423" s="1"/>
      <c r="J423" s="1"/>
      <c r="L423" s="87"/>
    </row>
    <row r="424" ht="15.75" customHeight="1">
      <c r="I424" s="1"/>
      <c r="J424" s="1"/>
      <c r="L424" s="87"/>
    </row>
    <row r="425" ht="15.75" customHeight="1">
      <c r="I425" s="1"/>
      <c r="J425" s="1"/>
      <c r="L425" s="87"/>
    </row>
    <row r="426" ht="15.75" customHeight="1">
      <c r="I426" s="1"/>
      <c r="J426" s="1"/>
      <c r="L426" s="87"/>
    </row>
    <row r="427" ht="15.75" customHeight="1">
      <c r="I427" s="1"/>
      <c r="J427" s="1"/>
      <c r="L427" s="87"/>
    </row>
    <row r="428" ht="15.75" customHeight="1">
      <c r="I428" s="1"/>
      <c r="J428" s="1"/>
      <c r="L428" s="87"/>
    </row>
    <row r="429" ht="15.75" customHeight="1">
      <c r="I429" s="1"/>
      <c r="J429" s="1"/>
      <c r="L429" s="87"/>
    </row>
    <row r="430" ht="15.75" customHeight="1">
      <c r="I430" s="1"/>
      <c r="J430" s="1"/>
      <c r="L430" s="87"/>
    </row>
    <row r="431" ht="15.75" customHeight="1">
      <c r="I431" s="1"/>
      <c r="J431" s="1"/>
      <c r="L431" s="87"/>
    </row>
    <row r="432" ht="15.75" customHeight="1">
      <c r="I432" s="1"/>
      <c r="J432" s="1"/>
      <c r="L432" s="87"/>
    </row>
    <row r="433" ht="15.75" customHeight="1">
      <c r="I433" s="1"/>
      <c r="J433" s="1"/>
      <c r="L433" s="87"/>
    </row>
    <row r="434" ht="15.75" customHeight="1">
      <c r="I434" s="1"/>
      <c r="J434" s="1"/>
      <c r="L434" s="87"/>
    </row>
    <row r="435" ht="15.75" customHeight="1">
      <c r="I435" s="1"/>
      <c r="J435" s="1"/>
      <c r="L435" s="87"/>
    </row>
    <row r="436" ht="15.75" customHeight="1">
      <c r="I436" s="1"/>
      <c r="J436" s="1"/>
      <c r="L436" s="87"/>
    </row>
    <row r="437" ht="15.75" customHeight="1">
      <c r="I437" s="1"/>
      <c r="J437" s="1"/>
      <c r="L437" s="87"/>
    </row>
    <row r="438" ht="15.75" customHeight="1">
      <c r="I438" s="1"/>
      <c r="J438" s="1"/>
      <c r="L438" s="87"/>
    </row>
    <row r="439" ht="15.75" customHeight="1">
      <c r="I439" s="1"/>
      <c r="J439" s="1"/>
      <c r="L439" s="87"/>
    </row>
    <row r="440" ht="15.75" customHeight="1">
      <c r="I440" s="1"/>
      <c r="J440" s="1"/>
      <c r="L440" s="87"/>
    </row>
    <row r="441" ht="15.75" customHeight="1">
      <c r="I441" s="1"/>
      <c r="J441" s="1"/>
      <c r="L441" s="87"/>
    </row>
    <row r="442" ht="15.75" customHeight="1">
      <c r="I442" s="1"/>
      <c r="J442" s="1"/>
      <c r="L442" s="87"/>
    </row>
    <row r="443" ht="15.75" customHeight="1">
      <c r="I443" s="1"/>
      <c r="J443" s="1"/>
      <c r="L443" s="87"/>
    </row>
    <row r="444" ht="15.75" customHeight="1">
      <c r="I444" s="1"/>
      <c r="J444" s="1"/>
      <c r="L444" s="87"/>
    </row>
    <row r="445" ht="15.75" customHeight="1">
      <c r="I445" s="1"/>
      <c r="J445" s="1"/>
      <c r="L445" s="87"/>
    </row>
    <row r="446" ht="15.75" customHeight="1">
      <c r="I446" s="1"/>
      <c r="J446" s="1"/>
      <c r="L446" s="87"/>
    </row>
    <row r="447" ht="15.75" customHeight="1">
      <c r="I447" s="1"/>
      <c r="J447" s="1"/>
      <c r="L447" s="87"/>
    </row>
    <row r="448" ht="15.75" customHeight="1">
      <c r="I448" s="1"/>
      <c r="J448" s="1"/>
      <c r="L448" s="87"/>
    </row>
    <row r="449" ht="15.75" customHeight="1">
      <c r="I449" s="1"/>
      <c r="J449" s="1"/>
      <c r="L449" s="87"/>
    </row>
    <row r="450" ht="15.75" customHeight="1">
      <c r="I450" s="1"/>
      <c r="J450" s="1"/>
      <c r="L450" s="87"/>
    </row>
    <row r="451" ht="15.75" customHeight="1">
      <c r="I451" s="1"/>
      <c r="J451" s="1"/>
      <c r="L451" s="87"/>
    </row>
    <row r="452" ht="15.75" customHeight="1">
      <c r="I452" s="1"/>
      <c r="J452" s="1"/>
      <c r="L452" s="87"/>
    </row>
    <row r="453" ht="15.75" customHeight="1">
      <c r="I453" s="1"/>
      <c r="J453" s="1"/>
      <c r="L453" s="87"/>
    </row>
    <row r="454" ht="15.75" customHeight="1">
      <c r="I454" s="1"/>
      <c r="J454" s="1"/>
      <c r="L454" s="87"/>
    </row>
    <row r="455" ht="15.75" customHeight="1">
      <c r="I455" s="1"/>
      <c r="J455" s="1"/>
      <c r="L455" s="87"/>
    </row>
    <row r="456" ht="15.75" customHeight="1">
      <c r="I456" s="1"/>
      <c r="J456" s="1"/>
      <c r="L456" s="87"/>
    </row>
    <row r="457" ht="15.75" customHeight="1">
      <c r="I457" s="1"/>
      <c r="J457" s="1"/>
      <c r="L457" s="87"/>
    </row>
    <row r="458" ht="15.75" customHeight="1">
      <c r="I458" s="1"/>
      <c r="J458" s="1"/>
      <c r="L458" s="87"/>
    </row>
    <row r="459" ht="15.75" customHeight="1">
      <c r="I459" s="1"/>
      <c r="J459" s="1"/>
      <c r="L459" s="87"/>
    </row>
    <row r="460" ht="15.75" customHeight="1">
      <c r="I460" s="1"/>
      <c r="J460" s="1"/>
      <c r="L460" s="87"/>
    </row>
    <row r="461" ht="15.75" customHeight="1">
      <c r="I461" s="1"/>
      <c r="J461" s="1"/>
      <c r="L461" s="87"/>
    </row>
    <row r="462" ht="15.75" customHeight="1">
      <c r="I462" s="1"/>
      <c r="J462" s="1"/>
      <c r="L462" s="87"/>
    </row>
    <row r="463" ht="15.75" customHeight="1">
      <c r="I463" s="1"/>
      <c r="J463" s="1"/>
      <c r="L463" s="87"/>
    </row>
    <row r="464" ht="15.75" customHeight="1">
      <c r="I464" s="1"/>
      <c r="J464" s="1"/>
      <c r="L464" s="87"/>
    </row>
    <row r="465" ht="15.75" customHeight="1">
      <c r="I465" s="1"/>
      <c r="J465" s="1"/>
      <c r="L465" s="87"/>
    </row>
    <row r="466" ht="15.75" customHeight="1">
      <c r="I466" s="1"/>
      <c r="J466" s="1"/>
      <c r="L466" s="87"/>
    </row>
    <row r="467" ht="15.75" customHeight="1">
      <c r="I467" s="1"/>
      <c r="J467" s="1"/>
      <c r="L467" s="87"/>
    </row>
    <row r="468" ht="15.75" customHeight="1">
      <c r="I468" s="1"/>
      <c r="J468" s="1"/>
      <c r="L468" s="87"/>
    </row>
    <row r="469" ht="15.75" customHeight="1">
      <c r="I469" s="1"/>
      <c r="J469" s="1"/>
      <c r="L469" s="87"/>
    </row>
    <row r="470" ht="15.75" customHeight="1">
      <c r="I470" s="1"/>
      <c r="J470" s="1"/>
      <c r="L470" s="87"/>
    </row>
    <row r="471" ht="15.75" customHeight="1">
      <c r="I471" s="1"/>
      <c r="J471" s="1"/>
      <c r="L471" s="87"/>
    </row>
    <row r="472" ht="15.75" customHeight="1">
      <c r="I472" s="1"/>
      <c r="J472" s="1"/>
      <c r="L472" s="87"/>
    </row>
    <row r="473" ht="15.75" customHeight="1">
      <c r="I473" s="1"/>
      <c r="J473" s="1"/>
      <c r="L473" s="87"/>
    </row>
    <row r="474" ht="15.75" customHeight="1">
      <c r="I474" s="1"/>
      <c r="J474" s="1"/>
      <c r="L474" s="87"/>
    </row>
    <row r="475" ht="15.75" customHeight="1">
      <c r="I475" s="1"/>
      <c r="J475" s="1"/>
      <c r="L475" s="87"/>
    </row>
    <row r="476" ht="15.75" customHeight="1">
      <c r="I476" s="1"/>
      <c r="J476" s="1"/>
      <c r="L476" s="87"/>
    </row>
    <row r="477" ht="15.75" customHeight="1">
      <c r="I477" s="1"/>
      <c r="J477" s="1"/>
      <c r="L477" s="87"/>
    </row>
    <row r="478" ht="15.75" customHeight="1">
      <c r="I478" s="1"/>
      <c r="J478" s="1"/>
      <c r="L478" s="87"/>
    </row>
    <row r="479" ht="15.75" customHeight="1">
      <c r="I479" s="1"/>
      <c r="J479" s="1"/>
      <c r="L479" s="87"/>
    </row>
    <row r="480" ht="15.75" customHeight="1">
      <c r="I480" s="1"/>
      <c r="J480" s="1"/>
      <c r="L480" s="87"/>
    </row>
    <row r="481" ht="15.75" customHeight="1">
      <c r="I481" s="1"/>
      <c r="J481" s="1"/>
      <c r="L481" s="87"/>
    </row>
    <row r="482" ht="15.75" customHeight="1">
      <c r="I482" s="1"/>
      <c r="J482" s="1"/>
      <c r="L482" s="87"/>
    </row>
    <row r="483" ht="15.75" customHeight="1">
      <c r="I483" s="1"/>
      <c r="J483" s="1"/>
      <c r="L483" s="87"/>
    </row>
    <row r="484" ht="15.75" customHeight="1">
      <c r="I484" s="1"/>
      <c r="J484" s="1"/>
      <c r="L484" s="87"/>
    </row>
    <row r="485" ht="15.75" customHeight="1">
      <c r="I485" s="1"/>
      <c r="J485" s="1"/>
      <c r="L485" s="87"/>
    </row>
    <row r="486" ht="15.75" customHeight="1">
      <c r="I486" s="1"/>
      <c r="J486" s="1"/>
      <c r="L486" s="87"/>
    </row>
    <row r="487" ht="15.75" customHeight="1">
      <c r="I487" s="1"/>
      <c r="J487" s="1"/>
      <c r="L487" s="87"/>
    </row>
    <row r="488" ht="15.75" customHeight="1">
      <c r="I488" s="1"/>
      <c r="J488" s="1"/>
      <c r="L488" s="87"/>
    </row>
    <row r="489" ht="15.75" customHeight="1">
      <c r="I489" s="1"/>
      <c r="J489" s="1"/>
      <c r="L489" s="87"/>
    </row>
    <row r="490" ht="15.75" customHeight="1">
      <c r="I490" s="1"/>
      <c r="J490" s="1"/>
      <c r="L490" s="87"/>
    </row>
    <row r="491" ht="15.75" customHeight="1">
      <c r="I491" s="1"/>
      <c r="J491" s="1"/>
      <c r="L491" s="87"/>
    </row>
    <row r="492" ht="15.75" customHeight="1">
      <c r="I492" s="1"/>
      <c r="J492" s="1"/>
      <c r="L492" s="87"/>
    </row>
    <row r="493" ht="15.75" customHeight="1">
      <c r="I493" s="1"/>
      <c r="J493" s="1"/>
      <c r="L493" s="87"/>
    </row>
    <row r="494" ht="15.75" customHeight="1">
      <c r="I494" s="1"/>
      <c r="J494" s="1"/>
      <c r="L494" s="87"/>
    </row>
    <row r="495" ht="15.75" customHeight="1">
      <c r="I495" s="1"/>
      <c r="J495" s="1"/>
      <c r="L495" s="87"/>
    </row>
    <row r="496" ht="15.75" customHeight="1">
      <c r="I496" s="1"/>
      <c r="J496" s="1"/>
      <c r="L496" s="87"/>
    </row>
    <row r="497" ht="15.75" customHeight="1">
      <c r="I497" s="1"/>
      <c r="J497" s="1"/>
      <c r="L497" s="87"/>
    </row>
    <row r="498" ht="15.75" customHeight="1">
      <c r="I498" s="1"/>
      <c r="J498" s="1"/>
      <c r="L498" s="87"/>
    </row>
    <row r="499" ht="15.75" customHeight="1">
      <c r="I499" s="1"/>
      <c r="J499" s="1"/>
      <c r="L499" s="87"/>
    </row>
    <row r="500" ht="15.75" customHeight="1">
      <c r="I500" s="1"/>
      <c r="J500" s="1"/>
      <c r="L500" s="87"/>
    </row>
    <row r="501" ht="15.75" customHeight="1">
      <c r="I501" s="1"/>
      <c r="J501" s="1"/>
      <c r="L501" s="87"/>
    </row>
    <row r="502" ht="15.75" customHeight="1">
      <c r="I502" s="1"/>
      <c r="J502" s="1"/>
      <c r="L502" s="87"/>
    </row>
    <row r="503" ht="15.75" customHeight="1">
      <c r="I503" s="1"/>
      <c r="J503" s="1"/>
      <c r="L503" s="87"/>
    </row>
    <row r="504" ht="15.75" customHeight="1">
      <c r="I504" s="1"/>
      <c r="J504" s="1"/>
      <c r="L504" s="87"/>
    </row>
    <row r="505" ht="15.75" customHeight="1">
      <c r="I505" s="1"/>
      <c r="J505" s="1"/>
      <c r="L505" s="87"/>
    </row>
    <row r="506" ht="15.75" customHeight="1">
      <c r="I506" s="1"/>
      <c r="J506" s="1"/>
      <c r="L506" s="87"/>
    </row>
    <row r="507" ht="15.75" customHeight="1">
      <c r="I507" s="1"/>
      <c r="J507" s="1"/>
      <c r="L507" s="87"/>
    </row>
    <row r="508" ht="15.75" customHeight="1">
      <c r="I508" s="1"/>
      <c r="J508" s="1"/>
      <c r="L508" s="87"/>
    </row>
    <row r="509" ht="15.75" customHeight="1">
      <c r="I509" s="1"/>
      <c r="J509" s="1"/>
      <c r="L509" s="87"/>
    </row>
    <row r="510" ht="15.75" customHeight="1">
      <c r="I510" s="1"/>
      <c r="J510" s="1"/>
      <c r="L510" s="87"/>
    </row>
    <row r="511" ht="15.75" customHeight="1">
      <c r="I511" s="1"/>
      <c r="J511" s="1"/>
      <c r="L511" s="87"/>
    </row>
    <row r="512" ht="15.75" customHeight="1">
      <c r="I512" s="1"/>
      <c r="J512" s="1"/>
      <c r="L512" s="87"/>
    </row>
    <row r="513" ht="15.75" customHeight="1">
      <c r="I513" s="1"/>
      <c r="J513" s="1"/>
      <c r="L513" s="87"/>
    </row>
    <row r="514" ht="15.75" customHeight="1">
      <c r="I514" s="1"/>
      <c r="J514" s="1"/>
      <c r="L514" s="87"/>
    </row>
    <row r="515" ht="15.75" customHeight="1">
      <c r="I515" s="1"/>
      <c r="J515" s="1"/>
      <c r="L515" s="87"/>
    </row>
    <row r="516" ht="15.75" customHeight="1">
      <c r="I516" s="1"/>
      <c r="J516" s="1"/>
      <c r="L516" s="87"/>
    </row>
    <row r="517" ht="15.75" customHeight="1">
      <c r="I517" s="1"/>
      <c r="J517" s="1"/>
      <c r="L517" s="87"/>
    </row>
    <row r="518" ht="15.75" customHeight="1">
      <c r="I518" s="1"/>
      <c r="J518" s="1"/>
      <c r="L518" s="87"/>
    </row>
    <row r="519" ht="15.75" customHeight="1">
      <c r="I519" s="1"/>
      <c r="J519" s="1"/>
      <c r="L519" s="87"/>
    </row>
    <row r="520" ht="15.75" customHeight="1">
      <c r="I520" s="1"/>
      <c r="J520" s="1"/>
      <c r="L520" s="87"/>
    </row>
    <row r="521" ht="15.75" customHeight="1">
      <c r="I521" s="1"/>
      <c r="J521" s="1"/>
      <c r="L521" s="87"/>
    </row>
    <row r="522" ht="15.75" customHeight="1">
      <c r="I522" s="1"/>
      <c r="J522" s="1"/>
      <c r="L522" s="87"/>
    </row>
    <row r="523" ht="15.75" customHeight="1">
      <c r="I523" s="1"/>
      <c r="J523" s="1"/>
      <c r="L523" s="87"/>
    </row>
    <row r="524" ht="15.75" customHeight="1">
      <c r="I524" s="1"/>
      <c r="J524" s="1"/>
      <c r="L524" s="87"/>
    </row>
    <row r="525" ht="15.75" customHeight="1">
      <c r="I525" s="1"/>
      <c r="J525" s="1"/>
      <c r="L525" s="87"/>
    </row>
    <row r="526" ht="15.75" customHeight="1">
      <c r="I526" s="1"/>
      <c r="J526" s="1"/>
      <c r="L526" s="87"/>
    </row>
    <row r="527" ht="15.75" customHeight="1">
      <c r="I527" s="1"/>
      <c r="J527" s="1"/>
      <c r="L527" s="87"/>
    </row>
    <row r="528" ht="15.75" customHeight="1">
      <c r="I528" s="1"/>
      <c r="J528" s="1"/>
      <c r="L528" s="87"/>
    </row>
    <row r="529" ht="15.75" customHeight="1">
      <c r="I529" s="1"/>
      <c r="J529" s="1"/>
      <c r="L529" s="87"/>
    </row>
    <row r="530" ht="15.75" customHeight="1">
      <c r="I530" s="1"/>
      <c r="J530" s="1"/>
      <c r="L530" s="87"/>
    </row>
    <row r="531" ht="15.75" customHeight="1">
      <c r="I531" s="1"/>
      <c r="J531" s="1"/>
      <c r="L531" s="87"/>
    </row>
    <row r="532" ht="15.75" customHeight="1">
      <c r="I532" s="1"/>
      <c r="J532" s="1"/>
      <c r="L532" s="87"/>
    </row>
    <row r="533" ht="15.75" customHeight="1">
      <c r="I533" s="1"/>
      <c r="J533" s="1"/>
      <c r="L533" s="87"/>
    </row>
    <row r="534" ht="15.75" customHeight="1">
      <c r="I534" s="1"/>
      <c r="J534" s="1"/>
      <c r="L534" s="87"/>
    </row>
    <row r="535" ht="15.75" customHeight="1">
      <c r="I535" s="1"/>
      <c r="J535" s="1"/>
      <c r="L535" s="87"/>
    </row>
    <row r="536" ht="15.75" customHeight="1">
      <c r="I536" s="1"/>
      <c r="J536" s="1"/>
      <c r="L536" s="87"/>
    </row>
    <row r="537" ht="15.75" customHeight="1">
      <c r="I537" s="1"/>
      <c r="J537" s="1"/>
      <c r="L537" s="87"/>
    </row>
    <row r="538" ht="15.75" customHeight="1">
      <c r="I538" s="1"/>
      <c r="J538" s="1"/>
      <c r="L538" s="87"/>
    </row>
    <row r="539" ht="15.75" customHeight="1">
      <c r="I539" s="1"/>
      <c r="J539" s="1"/>
      <c r="L539" s="87"/>
    </row>
    <row r="540" ht="15.75" customHeight="1">
      <c r="I540" s="1"/>
      <c r="J540" s="1"/>
      <c r="L540" s="87"/>
    </row>
    <row r="541" ht="15.75" customHeight="1">
      <c r="I541" s="1"/>
      <c r="J541" s="1"/>
      <c r="L541" s="87"/>
    </row>
    <row r="542" ht="15.75" customHeight="1">
      <c r="I542" s="1"/>
      <c r="J542" s="1"/>
      <c r="L542" s="87"/>
    </row>
    <row r="543" ht="15.75" customHeight="1">
      <c r="I543" s="1"/>
      <c r="J543" s="1"/>
      <c r="L543" s="87"/>
    </row>
    <row r="544" ht="15.75" customHeight="1">
      <c r="I544" s="1"/>
      <c r="J544" s="1"/>
      <c r="L544" s="87"/>
    </row>
    <row r="545" ht="15.75" customHeight="1">
      <c r="I545" s="1"/>
      <c r="J545" s="1"/>
      <c r="L545" s="87"/>
    </row>
    <row r="546" ht="15.75" customHeight="1">
      <c r="I546" s="1"/>
      <c r="J546" s="1"/>
      <c r="L546" s="87"/>
    </row>
    <row r="547" ht="15.75" customHeight="1">
      <c r="I547" s="1"/>
      <c r="J547" s="1"/>
      <c r="L547" s="87"/>
    </row>
    <row r="548" ht="15.75" customHeight="1">
      <c r="I548" s="1"/>
      <c r="J548" s="1"/>
      <c r="L548" s="87"/>
    </row>
    <row r="549" ht="15.75" customHeight="1">
      <c r="I549" s="1"/>
      <c r="J549" s="1"/>
      <c r="L549" s="87"/>
    </row>
    <row r="550" ht="15.75" customHeight="1">
      <c r="I550" s="1"/>
      <c r="J550" s="1"/>
      <c r="L550" s="87"/>
    </row>
    <row r="551" ht="15.75" customHeight="1">
      <c r="I551" s="1"/>
      <c r="J551" s="1"/>
      <c r="L551" s="87"/>
    </row>
    <row r="552" ht="15.75" customHeight="1">
      <c r="I552" s="1"/>
      <c r="J552" s="1"/>
      <c r="L552" s="87"/>
    </row>
    <row r="553" ht="15.75" customHeight="1">
      <c r="I553" s="1"/>
      <c r="J553" s="1"/>
      <c r="L553" s="87"/>
    </row>
    <row r="554" ht="15.75" customHeight="1">
      <c r="I554" s="1"/>
      <c r="J554" s="1"/>
      <c r="L554" s="87"/>
    </row>
    <row r="555" ht="15.75" customHeight="1">
      <c r="I555" s="1"/>
      <c r="J555" s="1"/>
      <c r="L555" s="87"/>
    </row>
    <row r="556" ht="15.75" customHeight="1">
      <c r="I556" s="1"/>
      <c r="J556" s="1"/>
      <c r="L556" s="87"/>
    </row>
    <row r="557" ht="15.75" customHeight="1">
      <c r="I557" s="1"/>
      <c r="J557" s="1"/>
      <c r="L557" s="87"/>
    </row>
    <row r="558" ht="15.75" customHeight="1">
      <c r="I558" s="1"/>
      <c r="J558" s="1"/>
      <c r="L558" s="87"/>
    </row>
    <row r="559" ht="15.75" customHeight="1">
      <c r="I559" s="1"/>
      <c r="J559" s="1"/>
      <c r="L559" s="87"/>
    </row>
    <row r="560" ht="15.75" customHeight="1">
      <c r="I560" s="1"/>
      <c r="J560" s="1"/>
      <c r="L560" s="87"/>
    </row>
    <row r="561" ht="15.75" customHeight="1">
      <c r="I561" s="1"/>
      <c r="J561" s="1"/>
      <c r="L561" s="87"/>
    </row>
    <row r="562" ht="15.75" customHeight="1">
      <c r="I562" s="1"/>
      <c r="J562" s="1"/>
      <c r="L562" s="87"/>
    </row>
    <row r="563" ht="15.75" customHeight="1">
      <c r="I563" s="1"/>
      <c r="J563" s="1"/>
      <c r="L563" s="87"/>
    </row>
    <row r="564" ht="15.75" customHeight="1">
      <c r="I564" s="1"/>
      <c r="J564" s="1"/>
      <c r="L564" s="87"/>
    </row>
    <row r="565" ht="15.75" customHeight="1">
      <c r="I565" s="1"/>
      <c r="J565" s="1"/>
      <c r="L565" s="87"/>
    </row>
    <row r="566" ht="15.75" customHeight="1">
      <c r="I566" s="1"/>
      <c r="J566" s="1"/>
      <c r="L566" s="87"/>
    </row>
    <row r="567" ht="15.75" customHeight="1">
      <c r="I567" s="1"/>
      <c r="J567" s="1"/>
      <c r="L567" s="87"/>
    </row>
    <row r="568" ht="15.75" customHeight="1">
      <c r="I568" s="1"/>
      <c r="J568" s="1"/>
      <c r="L568" s="87"/>
    </row>
    <row r="569" ht="15.75" customHeight="1">
      <c r="I569" s="1"/>
      <c r="J569" s="1"/>
      <c r="L569" s="87"/>
    </row>
    <row r="570" ht="15.75" customHeight="1">
      <c r="I570" s="1"/>
      <c r="J570" s="1"/>
      <c r="L570" s="87"/>
    </row>
    <row r="571" ht="15.75" customHeight="1">
      <c r="I571" s="1"/>
      <c r="J571" s="1"/>
      <c r="L571" s="87"/>
    </row>
    <row r="572" ht="15.75" customHeight="1">
      <c r="I572" s="1"/>
      <c r="J572" s="1"/>
      <c r="L572" s="87"/>
    </row>
    <row r="573" ht="15.75" customHeight="1">
      <c r="I573" s="1"/>
      <c r="J573" s="1"/>
      <c r="L573" s="87"/>
    </row>
    <row r="574" ht="15.75" customHeight="1">
      <c r="I574" s="1"/>
      <c r="J574" s="1"/>
      <c r="L574" s="87"/>
    </row>
    <row r="575" ht="15.75" customHeight="1">
      <c r="I575" s="1"/>
      <c r="J575" s="1"/>
      <c r="L575" s="87"/>
    </row>
    <row r="576" ht="15.75" customHeight="1">
      <c r="I576" s="1"/>
      <c r="J576" s="1"/>
      <c r="L576" s="87"/>
    </row>
    <row r="577" ht="15.75" customHeight="1">
      <c r="I577" s="1"/>
      <c r="J577" s="1"/>
      <c r="L577" s="87"/>
    </row>
    <row r="578" ht="15.75" customHeight="1">
      <c r="I578" s="1"/>
      <c r="J578" s="1"/>
      <c r="L578" s="87"/>
    </row>
    <row r="579" ht="15.75" customHeight="1">
      <c r="I579" s="1"/>
      <c r="J579" s="1"/>
      <c r="L579" s="87"/>
    </row>
    <row r="580" ht="15.75" customHeight="1">
      <c r="I580" s="1"/>
      <c r="J580" s="1"/>
      <c r="L580" s="87"/>
    </row>
    <row r="581" ht="15.75" customHeight="1">
      <c r="I581" s="1"/>
      <c r="J581" s="1"/>
      <c r="L581" s="87"/>
    </row>
    <row r="582" ht="15.75" customHeight="1">
      <c r="I582" s="1"/>
      <c r="J582" s="1"/>
      <c r="L582" s="87"/>
    </row>
    <row r="583" ht="15.75" customHeight="1">
      <c r="I583" s="1"/>
      <c r="J583" s="1"/>
      <c r="L583" s="87"/>
    </row>
    <row r="584" ht="15.75" customHeight="1">
      <c r="I584" s="1"/>
      <c r="J584" s="1"/>
      <c r="L584" s="87"/>
    </row>
    <row r="585" ht="15.75" customHeight="1">
      <c r="I585" s="1"/>
      <c r="J585" s="1"/>
      <c r="L585" s="87"/>
    </row>
    <row r="586" ht="15.75" customHeight="1">
      <c r="I586" s="1"/>
      <c r="J586" s="1"/>
      <c r="L586" s="87"/>
    </row>
    <row r="587" ht="15.75" customHeight="1">
      <c r="I587" s="1"/>
      <c r="J587" s="1"/>
      <c r="L587" s="87"/>
    </row>
    <row r="588" ht="15.75" customHeight="1">
      <c r="I588" s="1"/>
      <c r="J588" s="1"/>
      <c r="L588" s="87"/>
    </row>
    <row r="589" ht="15.75" customHeight="1">
      <c r="I589" s="1"/>
      <c r="J589" s="1"/>
      <c r="L589" s="87"/>
    </row>
    <row r="590" ht="15.75" customHeight="1">
      <c r="I590" s="1"/>
      <c r="J590" s="1"/>
      <c r="L590" s="87"/>
    </row>
    <row r="591" ht="15.75" customHeight="1">
      <c r="I591" s="1"/>
      <c r="J591" s="1"/>
      <c r="L591" s="87"/>
    </row>
    <row r="592" ht="15.75" customHeight="1">
      <c r="I592" s="1"/>
      <c r="J592" s="1"/>
      <c r="L592" s="87"/>
    </row>
    <row r="593" ht="15.75" customHeight="1">
      <c r="I593" s="1"/>
      <c r="J593" s="1"/>
      <c r="L593" s="87"/>
    </row>
    <row r="594" ht="15.75" customHeight="1">
      <c r="I594" s="1"/>
      <c r="J594" s="1"/>
      <c r="L594" s="87"/>
    </row>
    <row r="595" ht="15.75" customHeight="1">
      <c r="I595" s="1"/>
      <c r="J595" s="1"/>
      <c r="L595" s="87"/>
    </row>
    <row r="596" ht="15.75" customHeight="1">
      <c r="I596" s="1"/>
      <c r="J596" s="1"/>
      <c r="L596" s="87"/>
    </row>
    <row r="597" ht="15.75" customHeight="1">
      <c r="I597" s="1"/>
      <c r="J597" s="1"/>
      <c r="L597" s="87"/>
    </row>
    <row r="598" ht="15.75" customHeight="1">
      <c r="I598" s="1"/>
      <c r="J598" s="1"/>
      <c r="L598" s="87"/>
    </row>
    <row r="599" ht="15.75" customHeight="1">
      <c r="I599" s="1"/>
      <c r="J599" s="1"/>
      <c r="L599" s="87"/>
    </row>
    <row r="600" ht="15.75" customHeight="1">
      <c r="I600" s="1"/>
      <c r="J600" s="1"/>
      <c r="L600" s="87"/>
    </row>
    <row r="601" ht="15.75" customHeight="1">
      <c r="I601" s="1"/>
      <c r="J601" s="1"/>
      <c r="L601" s="87"/>
    </row>
    <row r="602" ht="15.75" customHeight="1">
      <c r="I602" s="1"/>
      <c r="J602" s="1"/>
      <c r="L602" s="87"/>
    </row>
    <row r="603" ht="15.75" customHeight="1">
      <c r="I603" s="1"/>
      <c r="J603" s="1"/>
      <c r="L603" s="87"/>
    </row>
    <row r="604" ht="15.75" customHeight="1">
      <c r="I604" s="1"/>
      <c r="J604" s="1"/>
      <c r="L604" s="87"/>
    </row>
    <row r="605" ht="15.75" customHeight="1">
      <c r="I605" s="1"/>
      <c r="J605" s="1"/>
      <c r="L605" s="87"/>
    </row>
    <row r="606" ht="15.75" customHeight="1">
      <c r="I606" s="1"/>
      <c r="J606" s="1"/>
      <c r="L606" s="87"/>
    </row>
    <row r="607" ht="15.75" customHeight="1">
      <c r="I607" s="1"/>
      <c r="J607" s="1"/>
      <c r="L607" s="87"/>
    </row>
    <row r="608" ht="15.75" customHeight="1">
      <c r="I608" s="1"/>
      <c r="J608" s="1"/>
      <c r="L608" s="87"/>
    </row>
    <row r="609" ht="15.75" customHeight="1">
      <c r="I609" s="1"/>
      <c r="J609" s="1"/>
      <c r="L609" s="87"/>
    </row>
    <row r="610" ht="15.75" customHeight="1">
      <c r="I610" s="1"/>
      <c r="J610" s="1"/>
      <c r="L610" s="87"/>
    </row>
    <row r="611" ht="15.75" customHeight="1">
      <c r="I611" s="1"/>
      <c r="J611" s="1"/>
      <c r="L611" s="87"/>
    </row>
    <row r="612" ht="15.75" customHeight="1">
      <c r="I612" s="1"/>
      <c r="J612" s="1"/>
      <c r="L612" s="87"/>
    </row>
    <row r="613" ht="15.75" customHeight="1">
      <c r="I613" s="1"/>
      <c r="J613" s="1"/>
      <c r="L613" s="87"/>
    </row>
    <row r="614" ht="15.75" customHeight="1">
      <c r="I614" s="1"/>
      <c r="J614" s="1"/>
      <c r="L614" s="87"/>
    </row>
    <row r="615" ht="15.75" customHeight="1">
      <c r="I615" s="1"/>
      <c r="J615" s="1"/>
      <c r="L615" s="87"/>
    </row>
    <row r="616" ht="15.75" customHeight="1">
      <c r="I616" s="1"/>
      <c r="J616" s="1"/>
      <c r="L616" s="87"/>
    </row>
    <row r="617" ht="15.75" customHeight="1">
      <c r="I617" s="1"/>
      <c r="J617" s="1"/>
      <c r="L617" s="87"/>
    </row>
    <row r="618" ht="15.75" customHeight="1">
      <c r="I618" s="1"/>
      <c r="J618" s="1"/>
      <c r="L618" s="87"/>
    </row>
    <row r="619" ht="15.75" customHeight="1">
      <c r="I619" s="1"/>
      <c r="J619" s="1"/>
      <c r="L619" s="87"/>
    </row>
    <row r="620" ht="15.75" customHeight="1">
      <c r="I620" s="1"/>
      <c r="J620" s="1"/>
      <c r="L620" s="87"/>
    </row>
    <row r="621" ht="15.75" customHeight="1">
      <c r="I621" s="1"/>
      <c r="J621" s="1"/>
      <c r="L621" s="87"/>
    </row>
    <row r="622" ht="15.75" customHeight="1">
      <c r="I622" s="1"/>
      <c r="J622" s="1"/>
      <c r="L622" s="87"/>
    </row>
    <row r="623" ht="15.75" customHeight="1">
      <c r="I623" s="1"/>
      <c r="J623" s="1"/>
      <c r="L623" s="87"/>
    </row>
    <row r="624" ht="15.75" customHeight="1">
      <c r="I624" s="1"/>
      <c r="J624" s="1"/>
      <c r="L624" s="87"/>
    </row>
    <row r="625" ht="15.75" customHeight="1">
      <c r="I625" s="1"/>
      <c r="J625" s="1"/>
      <c r="L625" s="87"/>
    </row>
    <row r="626" ht="15.75" customHeight="1">
      <c r="I626" s="1"/>
      <c r="J626" s="1"/>
      <c r="L626" s="87"/>
    </row>
    <row r="627" ht="15.75" customHeight="1">
      <c r="I627" s="1"/>
      <c r="J627" s="1"/>
      <c r="L627" s="87"/>
    </row>
    <row r="628" ht="15.75" customHeight="1">
      <c r="I628" s="1"/>
      <c r="J628" s="1"/>
      <c r="L628" s="87"/>
    </row>
    <row r="629" ht="15.75" customHeight="1">
      <c r="I629" s="1"/>
      <c r="J629" s="1"/>
      <c r="L629" s="87"/>
    </row>
    <row r="630" ht="15.75" customHeight="1">
      <c r="I630" s="1"/>
      <c r="J630" s="1"/>
      <c r="L630" s="87"/>
    </row>
    <row r="631" ht="15.75" customHeight="1">
      <c r="I631" s="1"/>
      <c r="J631" s="1"/>
      <c r="L631" s="87"/>
    </row>
    <row r="632" ht="15.75" customHeight="1">
      <c r="I632" s="1"/>
      <c r="J632" s="1"/>
      <c r="L632" s="87"/>
    </row>
    <row r="633" ht="15.75" customHeight="1">
      <c r="I633" s="1"/>
      <c r="J633" s="1"/>
      <c r="L633" s="87"/>
    </row>
    <row r="634" ht="15.75" customHeight="1">
      <c r="I634" s="1"/>
      <c r="J634" s="1"/>
      <c r="L634" s="87"/>
    </row>
    <row r="635" ht="15.75" customHeight="1">
      <c r="I635" s="1"/>
      <c r="J635" s="1"/>
      <c r="L635" s="87"/>
    </row>
    <row r="636" ht="15.75" customHeight="1">
      <c r="I636" s="1"/>
      <c r="J636" s="1"/>
      <c r="L636" s="87"/>
    </row>
    <row r="637" ht="15.75" customHeight="1">
      <c r="I637" s="1"/>
      <c r="J637" s="1"/>
      <c r="L637" s="87"/>
    </row>
    <row r="638" ht="15.75" customHeight="1">
      <c r="I638" s="1"/>
      <c r="J638" s="1"/>
      <c r="L638" s="87"/>
    </row>
    <row r="639" ht="15.75" customHeight="1">
      <c r="I639" s="1"/>
      <c r="J639" s="1"/>
      <c r="L639" s="87"/>
    </row>
    <row r="640" ht="15.75" customHeight="1">
      <c r="I640" s="1"/>
      <c r="J640" s="1"/>
      <c r="L640" s="87"/>
    </row>
    <row r="641" ht="15.75" customHeight="1">
      <c r="I641" s="1"/>
      <c r="J641" s="1"/>
      <c r="L641" s="87"/>
    </row>
    <row r="642" ht="15.75" customHeight="1">
      <c r="I642" s="1"/>
      <c r="J642" s="1"/>
      <c r="L642" s="87"/>
    </row>
    <row r="643" ht="15.75" customHeight="1">
      <c r="I643" s="1"/>
      <c r="J643" s="1"/>
      <c r="L643" s="87"/>
    </row>
    <row r="644" ht="15.75" customHeight="1">
      <c r="I644" s="1"/>
      <c r="J644" s="1"/>
      <c r="L644" s="87"/>
    </row>
    <row r="645" ht="15.75" customHeight="1">
      <c r="I645" s="1"/>
      <c r="J645" s="1"/>
      <c r="L645" s="87"/>
    </row>
    <row r="646" ht="15.75" customHeight="1">
      <c r="I646" s="1"/>
      <c r="J646" s="1"/>
      <c r="L646" s="87"/>
    </row>
    <row r="647" ht="15.75" customHeight="1">
      <c r="I647" s="1"/>
      <c r="J647" s="1"/>
      <c r="L647" s="87"/>
    </row>
    <row r="648" ht="15.75" customHeight="1">
      <c r="I648" s="1"/>
      <c r="J648" s="1"/>
      <c r="L648" s="87"/>
    </row>
    <row r="649" ht="15.75" customHeight="1">
      <c r="I649" s="1"/>
      <c r="J649" s="1"/>
      <c r="L649" s="87"/>
    </row>
    <row r="650" ht="15.75" customHeight="1">
      <c r="I650" s="1"/>
      <c r="J650" s="1"/>
      <c r="L650" s="87"/>
    </row>
    <row r="651" ht="15.75" customHeight="1">
      <c r="I651" s="1"/>
      <c r="J651" s="1"/>
      <c r="L651" s="87"/>
    </row>
    <row r="652" ht="15.75" customHeight="1">
      <c r="I652" s="1"/>
      <c r="J652" s="1"/>
      <c r="L652" s="87"/>
    </row>
    <row r="653" ht="15.75" customHeight="1">
      <c r="I653" s="1"/>
      <c r="J653" s="1"/>
      <c r="L653" s="87"/>
    </row>
    <row r="654" ht="15.75" customHeight="1">
      <c r="I654" s="1"/>
      <c r="J654" s="1"/>
      <c r="L654" s="87"/>
    </row>
    <row r="655" ht="15.75" customHeight="1">
      <c r="I655" s="1"/>
      <c r="J655" s="1"/>
      <c r="L655" s="87"/>
    </row>
    <row r="656" ht="15.75" customHeight="1">
      <c r="I656" s="1"/>
      <c r="J656" s="1"/>
      <c r="L656" s="87"/>
    </row>
    <row r="657" ht="15.75" customHeight="1">
      <c r="I657" s="1"/>
      <c r="J657" s="1"/>
      <c r="L657" s="87"/>
    </row>
    <row r="658" ht="15.75" customHeight="1">
      <c r="I658" s="1"/>
      <c r="J658" s="1"/>
      <c r="L658" s="87"/>
    </row>
    <row r="659" ht="15.75" customHeight="1">
      <c r="I659" s="1"/>
      <c r="J659" s="1"/>
      <c r="L659" s="87"/>
    </row>
    <row r="660" ht="15.75" customHeight="1">
      <c r="I660" s="1"/>
      <c r="J660" s="1"/>
      <c r="L660" s="87"/>
    </row>
    <row r="661" ht="15.75" customHeight="1">
      <c r="I661" s="1"/>
      <c r="J661" s="1"/>
      <c r="L661" s="87"/>
    </row>
    <row r="662" ht="15.75" customHeight="1">
      <c r="I662" s="1"/>
      <c r="J662" s="1"/>
      <c r="L662" s="87"/>
    </row>
    <row r="663" ht="15.75" customHeight="1">
      <c r="I663" s="1"/>
      <c r="J663" s="1"/>
      <c r="L663" s="87"/>
    </row>
    <row r="664" ht="15.75" customHeight="1">
      <c r="I664" s="1"/>
      <c r="J664" s="1"/>
      <c r="L664" s="87"/>
    </row>
    <row r="665" ht="15.75" customHeight="1">
      <c r="I665" s="1"/>
      <c r="J665" s="1"/>
      <c r="L665" s="87"/>
    </row>
    <row r="666" ht="15.75" customHeight="1">
      <c r="I666" s="1"/>
      <c r="J666" s="1"/>
      <c r="L666" s="87"/>
    </row>
    <row r="667" ht="15.75" customHeight="1">
      <c r="I667" s="1"/>
      <c r="J667" s="1"/>
      <c r="L667" s="87"/>
    </row>
    <row r="668" ht="15.75" customHeight="1">
      <c r="I668" s="1"/>
      <c r="J668" s="1"/>
      <c r="L668" s="87"/>
    </row>
    <row r="669" ht="15.75" customHeight="1">
      <c r="I669" s="1"/>
      <c r="J669" s="1"/>
      <c r="L669" s="87"/>
    </row>
    <row r="670" ht="15.75" customHeight="1">
      <c r="I670" s="1"/>
      <c r="J670" s="1"/>
      <c r="L670" s="87"/>
    </row>
    <row r="671" ht="15.75" customHeight="1">
      <c r="I671" s="1"/>
      <c r="J671" s="1"/>
      <c r="L671" s="87"/>
    </row>
    <row r="672" ht="15.75" customHeight="1">
      <c r="I672" s="1"/>
      <c r="J672" s="1"/>
      <c r="L672" s="87"/>
    </row>
    <row r="673" ht="15.75" customHeight="1">
      <c r="I673" s="1"/>
      <c r="J673" s="1"/>
      <c r="L673" s="87"/>
    </row>
    <row r="674" ht="15.75" customHeight="1">
      <c r="I674" s="1"/>
      <c r="J674" s="1"/>
      <c r="L674" s="87"/>
    </row>
    <row r="675" ht="15.75" customHeight="1">
      <c r="I675" s="1"/>
      <c r="J675" s="1"/>
      <c r="L675" s="87"/>
    </row>
    <row r="676" ht="15.75" customHeight="1">
      <c r="I676" s="1"/>
      <c r="J676" s="1"/>
      <c r="L676" s="87"/>
    </row>
    <row r="677" ht="15.75" customHeight="1">
      <c r="I677" s="1"/>
      <c r="J677" s="1"/>
      <c r="L677" s="87"/>
    </row>
    <row r="678" ht="15.75" customHeight="1">
      <c r="I678" s="1"/>
      <c r="J678" s="1"/>
      <c r="L678" s="87"/>
    </row>
    <row r="679" ht="15.75" customHeight="1">
      <c r="I679" s="1"/>
      <c r="J679" s="1"/>
      <c r="L679" s="87"/>
    </row>
    <row r="680" ht="15.75" customHeight="1">
      <c r="I680" s="1"/>
      <c r="J680" s="1"/>
      <c r="L680" s="87"/>
    </row>
    <row r="681" ht="15.75" customHeight="1">
      <c r="I681" s="1"/>
      <c r="J681" s="1"/>
      <c r="L681" s="87"/>
    </row>
    <row r="682" ht="15.75" customHeight="1">
      <c r="I682" s="1"/>
      <c r="J682" s="1"/>
      <c r="L682" s="87"/>
    </row>
    <row r="683" ht="15.75" customHeight="1">
      <c r="I683" s="1"/>
      <c r="J683" s="1"/>
      <c r="L683" s="87"/>
    </row>
    <row r="684" ht="15.75" customHeight="1">
      <c r="I684" s="1"/>
      <c r="J684" s="1"/>
      <c r="L684" s="87"/>
    </row>
    <row r="685" ht="15.75" customHeight="1">
      <c r="I685" s="1"/>
      <c r="J685" s="1"/>
      <c r="L685" s="87"/>
    </row>
    <row r="686" ht="15.75" customHeight="1">
      <c r="I686" s="1"/>
      <c r="J686" s="1"/>
      <c r="L686" s="87"/>
    </row>
    <row r="687" ht="15.75" customHeight="1">
      <c r="I687" s="1"/>
      <c r="J687" s="1"/>
      <c r="L687" s="87"/>
    </row>
    <row r="688" ht="15.75" customHeight="1">
      <c r="I688" s="1"/>
      <c r="J688" s="1"/>
      <c r="L688" s="87"/>
    </row>
    <row r="689" ht="15.75" customHeight="1">
      <c r="I689" s="1"/>
      <c r="J689" s="1"/>
      <c r="L689" s="87"/>
    </row>
    <row r="690" ht="15.75" customHeight="1">
      <c r="I690" s="1"/>
      <c r="J690" s="1"/>
      <c r="L690" s="87"/>
    </row>
    <row r="691" ht="15.75" customHeight="1">
      <c r="I691" s="1"/>
      <c r="J691" s="1"/>
      <c r="L691" s="87"/>
    </row>
    <row r="692" ht="15.75" customHeight="1">
      <c r="I692" s="1"/>
      <c r="J692" s="1"/>
      <c r="L692" s="87"/>
    </row>
    <row r="693" ht="15.75" customHeight="1">
      <c r="I693" s="1"/>
      <c r="J693" s="1"/>
      <c r="L693" s="87"/>
    </row>
    <row r="694" ht="15.75" customHeight="1">
      <c r="I694" s="1"/>
      <c r="J694" s="1"/>
      <c r="L694" s="87"/>
    </row>
    <row r="695" ht="15.75" customHeight="1">
      <c r="I695" s="1"/>
      <c r="J695" s="1"/>
      <c r="L695" s="87"/>
    </row>
    <row r="696" ht="15.75" customHeight="1">
      <c r="I696" s="1"/>
      <c r="J696" s="1"/>
      <c r="L696" s="87"/>
    </row>
    <row r="697" ht="15.75" customHeight="1">
      <c r="I697" s="1"/>
      <c r="J697" s="1"/>
      <c r="L697" s="87"/>
    </row>
    <row r="698" ht="15.75" customHeight="1">
      <c r="I698" s="1"/>
      <c r="J698" s="1"/>
      <c r="L698" s="87"/>
    </row>
    <row r="699" ht="15.75" customHeight="1">
      <c r="I699" s="1"/>
      <c r="J699" s="1"/>
      <c r="L699" s="87"/>
    </row>
    <row r="700" ht="15.75" customHeight="1">
      <c r="I700" s="1"/>
      <c r="J700" s="1"/>
      <c r="L700" s="87"/>
    </row>
    <row r="701" ht="15.75" customHeight="1">
      <c r="I701" s="1"/>
      <c r="J701" s="1"/>
      <c r="L701" s="87"/>
    </row>
    <row r="702" ht="15.75" customHeight="1">
      <c r="I702" s="1"/>
      <c r="J702" s="1"/>
      <c r="L702" s="87"/>
    </row>
    <row r="703" ht="15.75" customHeight="1">
      <c r="I703" s="1"/>
      <c r="J703" s="1"/>
      <c r="L703" s="87"/>
    </row>
    <row r="704" ht="15.75" customHeight="1">
      <c r="I704" s="1"/>
      <c r="J704" s="1"/>
      <c r="L704" s="87"/>
    </row>
    <row r="705" ht="15.75" customHeight="1">
      <c r="I705" s="1"/>
      <c r="J705" s="1"/>
      <c r="L705" s="87"/>
    </row>
    <row r="706" ht="15.75" customHeight="1">
      <c r="I706" s="1"/>
      <c r="J706" s="1"/>
      <c r="L706" s="87"/>
    </row>
    <row r="707" ht="15.75" customHeight="1">
      <c r="I707" s="1"/>
      <c r="J707" s="1"/>
      <c r="L707" s="87"/>
    </row>
    <row r="708" ht="15.75" customHeight="1">
      <c r="I708" s="1"/>
      <c r="J708" s="1"/>
      <c r="L708" s="87"/>
    </row>
    <row r="709" ht="15.75" customHeight="1">
      <c r="I709" s="1"/>
      <c r="J709" s="1"/>
      <c r="L709" s="87"/>
    </row>
    <row r="710" ht="15.75" customHeight="1">
      <c r="I710" s="1"/>
      <c r="J710" s="1"/>
      <c r="L710" s="87"/>
    </row>
    <row r="711" ht="15.75" customHeight="1">
      <c r="I711" s="1"/>
      <c r="J711" s="1"/>
      <c r="L711" s="87"/>
    </row>
    <row r="712" ht="15.75" customHeight="1">
      <c r="I712" s="1"/>
      <c r="J712" s="1"/>
      <c r="L712" s="87"/>
    </row>
    <row r="713" ht="15.75" customHeight="1">
      <c r="I713" s="1"/>
      <c r="J713" s="1"/>
      <c r="L713" s="87"/>
    </row>
    <row r="714" ht="15.75" customHeight="1">
      <c r="I714" s="1"/>
      <c r="J714" s="1"/>
      <c r="L714" s="87"/>
    </row>
    <row r="715" ht="15.75" customHeight="1">
      <c r="I715" s="1"/>
      <c r="J715" s="1"/>
      <c r="L715" s="87"/>
    </row>
    <row r="716" ht="15.75" customHeight="1">
      <c r="I716" s="1"/>
      <c r="J716" s="1"/>
      <c r="L716" s="87"/>
    </row>
    <row r="717" ht="15.75" customHeight="1">
      <c r="I717" s="1"/>
      <c r="J717" s="1"/>
      <c r="L717" s="87"/>
    </row>
    <row r="718" ht="15.75" customHeight="1">
      <c r="I718" s="1"/>
      <c r="J718" s="1"/>
      <c r="L718" s="87"/>
    </row>
    <row r="719" ht="15.75" customHeight="1">
      <c r="I719" s="1"/>
      <c r="J719" s="1"/>
      <c r="L719" s="87"/>
    </row>
    <row r="720" ht="15.75" customHeight="1">
      <c r="I720" s="1"/>
      <c r="J720" s="1"/>
      <c r="L720" s="87"/>
    </row>
    <row r="721" ht="15.75" customHeight="1">
      <c r="I721" s="1"/>
      <c r="J721" s="1"/>
      <c r="L721" s="87"/>
    </row>
    <row r="722" ht="15.75" customHeight="1">
      <c r="I722" s="1"/>
      <c r="J722" s="1"/>
      <c r="L722" s="87"/>
    </row>
    <row r="723" ht="15.75" customHeight="1">
      <c r="I723" s="1"/>
      <c r="J723" s="1"/>
      <c r="L723" s="87"/>
    </row>
    <row r="724" ht="15.75" customHeight="1">
      <c r="I724" s="1"/>
      <c r="J724" s="1"/>
      <c r="L724" s="87"/>
    </row>
    <row r="725" ht="15.75" customHeight="1">
      <c r="I725" s="1"/>
      <c r="J725" s="1"/>
      <c r="L725" s="87"/>
    </row>
    <row r="726" ht="15.75" customHeight="1">
      <c r="I726" s="1"/>
      <c r="J726" s="1"/>
      <c r="L726" s="87"/>
    </row>
    <row r="727" ht="15.75" customHeight="1">
      <c r="I727" s="1"/>
      <c r="J727" s="1"/>
      <c r="L727" s="87"/>
    </row>
    <row r="728" ht="15.75" customHeight="1">
      <c r="I728" s="1"/>
      <c r="J728" s="1"/>
      <c r="L728" s="87"/>
    </row>
    <row r="729" ht="15.75" customHeight="1">
      <c r="I729" s="1"/>
      <c r="J729" s="1"/>
      <c r="L729" s="87"/>
    </row>
    <row r="730" ht="15.75" customHeight="1">
      <c r="I730" s="1"/>
      <c r="J730" s="1"/>
      <c r="L730" s="87"/>
    </row>
    <row r="731" ht="15.75" customHeight="1">
      <c r="I731" s="1"/>
      <c r="J731" s="1"/>
      <c r="L731" s="87"/>
    </row>
    <row r="732" ht="15.75" customHeight="1">
      <c r="I732" s="1"/>
      <c r="J732" s="1"/>
      <c r="L732" s="87"/>
    </row>
    <row r="733" ht="15.75" customHeight="1">
      <c r="I733" s="1"/>
      <c r="J733" s="1"/>
      <c r="L733" s="87"/>
    </row>
    <row r="734" ht="15.75" customHeight="1">
      <c r="I734" s="1"/>
      <c r="J734" s="1"/>
      <c r="L734" s="87"/>
    </row>
    <row r="735" ht="15.75" customHeight="1">
      <c r="I735" s="1"/>
      <c r="J735" s="1"/>
      <c r="L735" s="87"/>
    </row>
    <row r="736" ht="15.75" customHeight="1">
      <c r="I736" s="1"/>
      <c r="J736" s="1"/>
      <c r="L736" s="87"/>
    </row>
    <row r="737" ht="15.75" customHeight="1">
      <c r="I737" s="1"/>
      <c r="J737" s="1"/>
      <c r="L737" s="87"/>
    </row>
    <row r="738" ht="15.75" customHeight="1">
      <c r="I738" s="1"/>
      <c r="J738" s="1"/>
      <c r="L738" s="87"/>
    </row>
    <row r="739" ht="15.75" customHeight="1">
      <c r="I739" s="1"/>
      <c r="J739" s="1"/>
      <c r="L739" s="87"/>
    </row>
    <row r="740" ht="15.75" customHeight="1">
      <c r="I740" s="1"/>
      <c r="J740" s="1"/>
      <c r="L740" s="87"/>
    </row>
    <row r="741" ht="15.75" customHeight="1">
      <c r="I741" s="1"/>
      <c r="J741" s="1"/>
      <c r="L741" s="87"/>
    </row>
    <row r="742" ht="15.75" customHeight="1">
      <c r="I742" s="1"/>
      <c r="J742" s="1"/>
      <c r="L742" s="87"/>
    </row>
    <row r="743" ht="15.75" customHeight="1">
      <c r="I743" s="1"/>
      <c r="J743" s="1"/>
      <c r="L743" s="87"/>
    </row>
    <row r="744" ht="15.75" customHeight="1">
      <c r="I744" s="1"/>
      <c r="J744" s="1"/>
      <c r="L744" s="87"/>
    </row>
    <row r="745" ht="15.75" customHeight="1">
      <c r="I745" s="1"/>
      <c r="J745" s="1"/>
      <c r="L745" s="87"/>
    </row>
    <row r="746" ht="15.75" customHeight="1">
      <c r="I746" s="1"/>
      <c r="J746" s="1"/>
      <c r="L746" s="87"/>
    </row>
    <row r="747" ht="15.75" customHeight="1">
      <c r="I747" s="1"/>
      <c r="J747" s="1"/>
      <c r="L747" s="87"/>
    </row>
    <row r="748" ht="15.75" customHeight="1">
      <c r="I748" s="1"/>
      <c r="J748" s="1"/>
      <c r="L748" s="87"/>
    </row>
    <row r="749" ht="15.75" customHeight="1">
      <c r="I749" s="1"/>
      <c r="J749" s="1"/>
      <c r="L749" s="87"/>
    </row>
    <row r="750" ht="15.75" customHeight="1">
      <c r="I750" s="1"/>
      <c r="J750" s="1"/>
      <c r="L750" s="87"/>
    </row>
    <row r="751" ht="15.75" customHeight="1">
      <c r="I751" s="1"/>
      <c r="J751" s="1"/>
      <c r="L751" s="87"/>
    </row>
    <row r="752" ht="15.75" customHeight="1">
      <c r="I752" s="1"/>
      <c r="J752" s="1"/>
      <c r="L752" s="87"/>
    </row>
    <row r="753" ht="15.75" customHeight="1">
      <c r="I753" s="1"/>
      <c r="J753" s="1"/>
      <c r="L753" s="87"/>
    </row>
    <row r="754" ht="15.75" customHeight="1">
      <c r="I754" s="1"/>
      <c r="J754" s="1"/>
      <c r="L754" s="87"/>
    </row>
    <row r="755" ht="15.75" customHeight="1">
      <c r="I755" s="1"/>
      <c r="J755" s="1"/>
      <c r="L755" s="87"/>
    </row>
    <row r="756" ht="15.75" customHeight="1">
      <c r="I756" s="1"/>
      <c r="J756" s="1"/>
      <c r="L756" s="87"/>
    </row>
    <row r="757" ht="15.75" customHeight="1">
      <c r="I757" s="1"/>
      <c r="J757" s="1"/>
      <c r="L757" s="87"/>
    </row>
    <row r="758" ht="15.75" customHeight="1">
      <c r="I758" s="1"/>
      <c r="J758" s="1"/>
      <c r="L758" s="87"/>
    </row>
    <row r="759" ht="15.75" customHeight="1">
      <c r="I759" s="1"/>
      <c r="J759" s="1"/>
      <c r="L759" s="87"/>
    </row>
    <row r="760" ht="15.75" customHeight="1">
      <c r="I760" s="1"/>
      <c r="J760" s="1"/>
      <c r="L760" s="87"/>
    </row>
    <row r="761" ht="15.75" customHeight="1">
      <c r="I761" s="1"/>
      <c r="J761" s="1"/>
      <c r="L761" s="87"/>
    </row>
    <row r="762" ht="15.75" customHeight="1">
      <c r="I762" s="1"/>
      <c r="J762" s="1"/>
      <c r="L762" s="87"/>
    </row>
    <row r="763" ht="15.75" customHeight="1">
      <c r="I763" s="1"/>
      <c r="J763" s="1"/>
      <c r="L763" s="87"/>
    </row>
    <row r="764" ht="15.75" customHeight="1">
      <c r="I764" s="1"/>
      <c r="J764" s="1"/>
      <c r="L764" s="87"/>
    </row>
    <row r="765" ht="15.75" customHeight="1">
      <c r="I765" s="1"/>
      <c r="J765" s="1"/>
      <c r="L765" s="87"/>
    </row>
    <row r="766" ht="15.75" customHeight="1">
      <c r="I766" s="1"/>
      <c r="J766" s="1"/>
      <c r="L766" s="87"/>
    </row>
    <row r="767" ht="15.75" customHeight="1">
      <c r="I767" s="1"/>
      <c r="J767" s="1"/>
      <c r="L767" s="87"/>
    </row>
    <row r="768" ht="15.75" customHeight="1">
      <c r="I768" s="1"/>
      <c r="J768" s="1"/>
      <c r="L768" s="87"/>
    </row>
    <row r="769" ht="15.75" customHeight="1">
      <c r="I769" s="1"/>
      <c r="J769" s="1"/>
      <c r="L769" s="87"/>
    </row>
    <row r="770" ht="15.75" customHeight="1">
      <c r="I770" s="1"/>
      <c r="J770" s="1"/>
      <c r="L770" s="87"/>
    </row>
    <row r="771" ht="15.75" customHeight="1">
      <c r="I771" s="1"/>
      <c r="J771" s="1"/>
      <c r="L771" s="87"/>
    </row>
    <row r="772" ht="15.75" customHeight="1">
      <c r="I772" s="1"/>
      <c r="J772" s="1"/>
      <c r="L772" s="87"/>
    </row>
    <row r="773" ht="15.75" customHeight="1">
      <c r="I773" s="1"/>
      <c r="J773" s="1"/>
      <c r="L773" s="87"/>
    </row>
    <row r="774" ht="15.75" customHeight="1">
      <c r="I774" s="1"/>
      <c r="J774" s="1"/>
      <c r="L774" s="87"/>
    </row>
    <row r="775" ht="15.75" customHeight="1">
      <c r="I775" s="1"/>
      <c r="J775" s="1"/>
      <c r="L775" s="87"/>
    </row>
    <row r="776" ht="15.75" customHeight="1">
      <c r="I776" s="1"/>
      <c r="J776" s="1"/>
      <c r="L776" s="87"/>
    </row>
    <row r="777" ht="15.75" customHeight="1">
      <c r="I777" s="1"/>
      <c r="J777" s="1"/>
      <c r="L777" s="87"/>
    </row>
    <row r="778" ht="15.75" customHeight="1">
      <c r="I778" s="1"/>
      <c r="J778" s="1"/>
      <c r="L778" s="87"/>
    </row>
    <row r="779" ht="15.75" customHeight="1">
      <c r="I779" s="1"/>
      <c r="J779" s="1"/>
      <c r="L779" s="87"/>
    </row>
    <row r="780" ht="15.75" customHeight="1">
      <c r="I780" s="1"/>
      <c r="J780" s="1"/>
      <c r="L780" s="87"/>
    </row>
    <row r="781" ht="15.75" customHeight="1">
      <c r="I781" s="1"/>
      <c r="J781" s="1"/>
      <c r="L781" s="87"/>
    </row>
    <row r="782" ht="15.75" customHeight="1">
      <c r="I782" s="1"/>
      <c r="J782" s="1"/>
      <c r="L782" s="87"/>
    </row>
    <row r="783" ht="15.75" customHeight="1">
      <c r="I783" s="1"/>
      <c r="J783" s="1"/>
      <c r="L783" s="87"/>
    </row>
    <row r="784" ht="15.75" customHeight="1">
      <c r="I784" s="1"/>
      <c r="J784" s="1"/>
      <c r="L784" s="87"/>
    </row>
    <row r="785" ht="15.75" customHeight="1">
      <c r="I785" s="1"/>
      <c r="J785" s="1"/>
      <c r="L785" s="87"/>
    </row>
    <row r="786" ht="15.75" customHeight="1">
      <c r="I786" s="1"/>
      <c r="J786" s="1"/>
      <c r="L786" s="87"/>
    </row>
    <row r="787" ht="15.75" customHeight="1">
      <c r="I787" s="1"/>
      <c r="J787" s="1"/>
      <c r="L787" s="87"/>
    </row>
    <row r="788" ht="15.75" customHeight="1">
      <c r="I788" s="1"/>
      <c r="J788" s="1"/>
      <c r="L788" s="87"/>
    </row>
    <row r="789" ht="15.75" customHeight="1">
      <c r="I789" s="1"/>
      <c r="J789" s="1"/>
      <c r="L789" s="87"/>
    </row>
    <row r="790" ht="15.75" customHeight="1">
      <c r="I790" s="1"/>
      <c r="J790" s="1"/>
      <c r="L790" s="87"/>
    </row>
    <row r="791" ht="15.75" customHeight="1">
      <c r="I791" s="1"/>
      <c r="J791" s="1"/>
      <c r="L791" s="87"/>
    </row>
    <row r="792" ht="15.75" customHeight="1">
      <c r="I792" s="1"/>
      <c r="J792" s="1"/>
      <c r="L792" s="87"/>
    </row>
    <row r="793" ht="15.75" customHeight="1">
      <c r="I793" s="1"/>
      <c r="J793" s="1"/>
      <c r="L793" s="87"/>
    </row>
    <row r="794" ht="15.75" customHeight="1">
      <c r="I794" s="1"/>
      <c r="J794" s="1"/>
      <c r="L794" s="87"/>
    </row>
    <row r="795" ht="15.75" customHeight="1">
      <c r="I795" s="1"/>
      <c r="J795" s="1"/>
      <c r="L795" s="87"/>
    </row>
    <row r="796" ht="15.75" customHeight="1">
      <c r="I796" s="1"/>
      <c r="J796" s="1"/>
      <c r="L796" s="87"/>
    </row>
    <row r="797" ht="15.75" customHeight="1">
      <c r="I797" s="1"/>
      <c r="J797" s="1"/>
      <c r="L797" s="87"/>
    </row>
    <row r="798" ht="15.75" customHeight="1">
      <c r="I798" s="1"/>
      <c r="J798" s="1"/>
      <c r="L798" s="87"/>
    </row>
    <row r="799" ht="15.75" customHeight="1">
      <c r="I799" s="1"/>
      <c r="J799" s="1"/>
      <c r="L799" s="87"/>
    </row>
    <row r="800" ht="15.75" customHeight="1">
      <c r="I800" s="1"/>
      <c r="J800" s="1"/>
      <c r="L800" s="87"/>
    </row>
    <row r="801" ht="15.75" customHeight="1">
      <c r="I801" s="1"/>
      <c r="J801" s="1"/>
      <c r="L801" s="87"/>
    </row>
    <row r="802" ht="15.75" customHeight="1">
      <c r="I802" s="1"/>
      <c r="J802" s="1"/>
      <c r="L802" s="87"/>
    </row>
    <row r="803" ht="15.75" customHeight="1">
      <c r="I803" s="1"/>
      <c r="J803" s="1"/>
      <c r="L803" s="87"/>
    </row>
    <row r="804" ht="15.75" customHeight="1">
      <c r="I804" s="1"/>
      <c r="J804" s="1"/>
      <c r="L804" s="87"/>
    </row>
    <row r="805" ht="15.75" customHeight="1">
      <c r="I805" s="1"/>
      <c r="J805" s="1"/>
      <c r="L805" s="87"/>
    </row>
    <row r="806" ht="15.75" customHeight="1">
      <c r="I806" s="1"/>
      <c r="J806" s="1"/>
      <c r="L806" s="87"/>
    </row>
    <row r="807" ht="15.75" customHeight="1">
      <c r="I807" s="1"/>
      <c r="J807" s="1"/>
      <c r="L807" s="87"/>
    </row>
    <row r="808" ht="15.75" customHeight="1">
      <c r="I808" s="1"/>
      <c r="J808" s="1"/>
      <c r="L808" s="87"/>
    </row>
    <row r="809" ht="15.75" customHeight="1">
      <c r="I809" s="1"/>
      <c r="J809" s="1"/>
      <c r="L809" s="87"/>
    </row>
    <row r="810" ht="15.75" customHeight="1">
      <c r="I810" s="1"/>
      <c r="J810" s="1"/>
      <c r="L810" s="87"/>
    </row>
    <row r="811" ht="15.75" customHeight="1">
      <c r="I811" s="1"/>
      <c r="J811" s="1"/>
      <c r="L811" s="87"/>
    </row>
    <row r="812" ht="15.75" customHeight="1">
      <c r="I812" s="1"/>
      <c r="J812" s="1"/>
      <c r="L812" s="87"/>
    </row>
    <row r="813" ht="15.75" customHeight="1">
      <c r="I813" s="1"/>
      <c r="J813" s="1"/>
      <c r="L813" s="87"/>
    </row>
    <row r="814" ht="15.75" customHeight="1">
      <c r="I814" s="1"/>
      <c r="J814" s="1"/>
      <c r="L814" s="87"/>
    </row>
    <row r="815" ht="15.75" customHeight="1">
      <c r="I815" s="1"/>
      <c r="J815" s="1"/>
      <c r="L815" s="87"/>
    </row>
    <row r="816" ht="15.75" customHeight="1">
      <c r="I816" s="1"/>
      <c r="J816" s="1"/>
      <c r="L816" s="87"/>
    </row>
    <row r="817" ht="15.75" customHeight="1">
      <c r="I817" s="1"/>
      <c r="J817" s="1"/>
      <c r="L817" s="87"/>
    </row>
    <row r="818" ht="15.75" customHeight="1">
      <c r="I818" s="1"/>
      <c r="J818" s="1"/>
      <c r="L818" s="87"/>
    </row>
    <row r="819" ht="15.75" customHeight="1">
      <c r="I819" s="1"/>
      <c r="J819" s="1"/>
      <c r="L819" s="87"/>
    </row>
    <row r="820" ht="15.75" customHeight="1">
      <c r="I820" s="1"/>
      <c r="J820" s="1"/>
      <c r="L820" s="87"/>
    </row>
    <row r="821" ht="15.75" customHeight="1">
      <c r="I821" s="1"/>
      <c r="J821" s="1"/>
      <c r="L821" s="87"/>
    </row>
    <row r="822" ht="15.75" customHeight="1">
      <c r="I822" s="1"/>
      <c r="J822" s="1"/>
      <c r="L822" s="87"/>
    </row>
    <row r="823" ht="15.75" customHeight="1">
      <c r="I823" s="1"/>
      <c r="J823" s="1"/>
      <c r="L823" s="87"/>
    </row>
    <row r="824" ht="15.75" customHeight="1">
      <c r="I824" s="1"/>
      <c r="J824" s="1"/>
      <c r="L824" s="87"/>
    </row>
    <row r="825" ht="15.75" customHeight="1">
      <c r="I825" s="1"/>
      <c r="J825" s="1"/>
      <c r="L825" s="87"/>
    </row>
    <row r="826" ht="15.75" customHeight="1">
      <c r="I826" s="1"/>
      <c r="J826" s="1"/>
      <c r="L826" s="87"/>
    </row>
    <row r="827" ht="15.75" customHeight="1">
      <c r="I827" s="1"/>
      <c r="J827" s="1"/>
      <c r="L827" s="87"/>
    </row>
    <row r="828" ht="15.75" customHeight="1">
      <c r="I828" s="1"/>
      <c r="J828" s="1"/>
      <c r="L828" s="87"/>
    </row>
    <row r="829" ht="15.75" customHeight="1">
      <c r="I829" s="1"/>
      <c r="J829" s="1"/>
      <c r="L829" s="87"/>
    </row>
    <row r="830" ht="15.75" customHeight="1">
      <c r="I830" s="1"/>
      <c r="J830" s="1"/>
      <c r="L830" s="87"/>
    </row>
    <row r="831" ht="15.75" customHeight="1">
      <c r="I831" s="1"/>
      <c r="J831" s="1"/>
      <c r="L831" s="87"/>
    </row>
    <row r="832" ht="15.75" customHeight="1">
      <c r="I832" s="1"/>
      <c r="J832" s="1"/>
      <c r="L832" s="87"/>
    </row>
    <row r="833" ht="15.75" customHeight="1">
      <c r="I833" s="1"/>
      <c r="J833" s="1"/>
      <c r="L833" s="87"/>
    </row>
    <row r="834" ht="15.75" customHeight="1">
      <c r="I834" s="1"/>
      <c r="J834" s="1"/>
      <c r="L834" s="87"/>
    </row>
    <row r="835" ht="15.75" customHeight="1">
      <c r="I835" s="1"/>
      <c r="J835" s="1"/>
      <c r="L835" s="87"/>
    </row>
    <row r="836" ht="15.75" customHeight="1">
      <c r="I836" s="1"/>
      <c r="J836" s="1"/>
      <c r="L836" s="87"/>
    </row>
    <row r="837" ht="15.75" customHeight="1">
      <c r="I837" s="1"/>
      <c r="J837" s="1"/>
      <c r="L837" s="87"/>
    </row>
    <row r="838" ht="15.75" customHeight="1">
      <c r="I838" s="1"/>
      <c r="J838" s="1"/>
      <c r="L838" s="87"/>
    </row>
    <row r="839" ht="15.75" customHeight="1">
      <c r="I839" s="1"/>
      <c r="J839" s="1"/>
      <c r="L839" s="87"/>
    </row>
    <row r="840" ht="15.75" customHeight="1">
      <c r="I840" s="1"/>
      <c r="J840" s="1"/>
      <c r="L840" s="87"/>
    </row>
    <row r="841" ht="15.75" customHeight="1">
      <c r="I841" s="1"/>
      <c r="J841" s="1"/>
      <c r="L841" s="87"/>
    </row>
    <row r="842" ht="15.75" customHeight="1">
      <c r="I842" s="1"/>
      <c r="J842" s="1"/>
      <c r="L842" s="87"/>
    </row>
    <row r="843" ht="15.75" customHeight="1">
      <c r="I843" s="1"/>
      <c r="J843" s="1"/>
      <c r="L843" s="87"/>
    </row>
    <row r="844" ht="15.75" customHeight="1">
      <c r="I844" s="1"/>
      <c r="J844" s="1"/>
      <c r="L844" s="87"/>
    </row>
    <row r="845" ht="15.75" customHeight="1">
      <c r="I845" s="1"/>
      <c r="J845" s="1"/>
      <c r="L845" s="87"/>
    </row>
    <row r="846" ht="15.75" customHeight="1">
      <c r="I846" s="1"/>
      <c r="J846" s="1"/>
      <c r="L846" s="87"/>
    </row>
    <row r="847" ht="15.75" customHeight="1">
      <c r="I847" s="1"/>
      <c r="J847" s="1"/>
      <c r="L847" s="87"/>
    </row>
    <row r="848" ht="15.75" customHeight="1">
      <c r="I848" s="1"/>
      <c r="J848" s="1"/>
      <c r="L848" s="87"/>
    </row>
    <row r="849" ht="15.75" customHeight="1">
      <c r="I849" s="1"/>
      <c r="J849" s="1"/>
      <c r="L849" s="87"/>
    </row>
    <row r="850" ht="15.75" customHeight="1">
      <c r="I850" s="1"/>
      <c r="J850" s="1"/>
      <c r="L850" s="87"/>
    </row>
    <row r="851" ht="15.75" customHeight="1">
      <c r="I851" s="1"/>
      <c r="J851" s="1"/>
      <c r="L851" s="87"/>
    </row>
    <row r="852" ht="15.75" customHeight="1">
      <c r="I852" s="1"/>
      <c r="J852" s="1"/>
      <c r="L852" s="87"/>
    </row>
    <row r="853" ht="15.75" customHeight="1">
      <c r="I853" s="1"/>
      <c r="J853" s="1"/>
      <c r="L853" s="87"/>
    </row>
    <row r="854" ht="15.75" customHeight="1">
      <c r="I854" s="1"/>
      <c r="J854" s="1"/>
      <c r="L854" s="87"/>
    </row>
    <row r="855" ht="15.75" customHeight="1">
      <c r="I855" s="1"/>
      <c r="J855" s="1"/>
      <c r="L855" s="87"/>
    </row>
    <row r="856" ht="15.75" customHeight="1">
      <c r="I856" s="1"/>
      <c r="J856" s="1"/>
      <c r="L856" s="87"/>
    </row>
    <row r="857" ht="15.75" customHeight="1">
      <c r="I857" s="1"/>
      <c r="J857" s="1"/>
      <c r="L857" s="87"/>
    </row>
    <row r="858" ht="15.75" customHeight="1">
      <c r="I858" s="1"/>
      <c r="J858" s="1"/>
      <c r="L858" s="87"/>
    </row>
    <row r="859" ht="15.75" customHeight="1">
      <c r="I859" s="1"/>
      <c r="J859" s="1"/>
      <c r="L859" s="87"/>
    </row>
    <row r="860" ht="15.75" customHeight="1">
      <c r="I860" s="1"/>
      <c r="J860" s="1"/>
      <c r="L860" s="87"/>
    </row>
    <row r="861" ht="15.75" customHeight="1">
      <c r="I861" s="1"/>
      <c r="J861" s="1"/>
      <c r="L861" s="87"/>
    </row>
    <row r="862" ht="15.75" customHeight="1">
      <c r="I862" s="1"/>
      <c r="J862" s="1"/>
      <c r="L862" s="87"/>
    </row>
    <row r="863" ht="15.75" customHeight="1">
      <c r="I863" s="1"/>
      <c r="J863" s="1"/>
      <c r="L863" s="87"/>
    </row>
    <row r="864" ht="15.75" customHeight="1">
      <c r="I864" s="1"/>
      <c r="J864" s="1"/>
      <c r="L864" s="87"/>
    </row>
    <row r="865" ht="15.75" customHeight="1">
      <c r="I865" s="1"/>
      <c r="J865" s="1"/>
      <c r="L865" s="87"/>
    </row>
    <row r="866" ht="15.75" customHeight="1">
      <c r="I866" s="1"/>
      <c r="J866" s="1"/>
      <c r="L866" s="87"/>
    </row>
    <row r="867" ht="15.75" customHeight="1">
      <c r="I867" s="1"/>
      <c r="J867" s="1"/>
      <c r="L867" s="87"/>
    </row>
    <row r="868" ht="15.75" customHeight="1">
      <c r="I868" s="1"/>
      <c r="J868" s="1"/>
      <c r="L868" s="87"/>
    </row>
    <row r="869" ht="15.75" customHeight="1">
      <c r="I869" s="1"/>
      <c r="J869" s="1"/>
      <c r="L869" s="87"/>
    </row>
    <row r="870" ht="15.75" customHeight="1">
      <c r="I870" s="1"/>
      <c r="J870" s="1"/>
      <c r="L870" s="87"/>
    </row>
    <row r="871" ht="15.75" customHeight="1">
      <c r="I871" s="1"/>
      <c r="J871" s="1"/>
      <c r="L871" s="87"/>
    </row>
    <row r="872" ht="15.75" customHeight="1">
      <c r="I872" s="1"/>
      <c r="J872" s="1"/>
      <c r="L872" s="87"/>
    </row>
    <row r="873" ht="15.75" customHeight="1">
      <c r="I873" s="1"/>
      <c r="J873" s="1"/>
      <c r="L873" s="87"/>
    </row>
    <row r="874" ht="15.75" customHeight="1">
      <c r="I874" s="1"/>
      <c r="J874" s="1"/>
      <c r="L874" s="87"/>
    </row>
    <row r="875" ht="15.75" customHeight="1">
      <c r="I875" s="1"/>
      <c r="J875" s="1"/>
      <c r="L875" s="87"/>
    </row>
    <row r="876" ht="15.75" customHeight="1">
      <c r="I876" s="1"/>
      <c r="J876" s="1"/>
      <c r="L876" s="87"/>
    </row>
    <row r="877" ht="15.75" customHeight="1">
      <c r="I877" s="1"/>
      <c r="J877" s="1"/>
      <c r="L877" s="87"/>
    </row>
    <row r="878" ht="15.75" customHeight="1">
      <c r="I878" s="1"/>
      <c r="J878" s="1"/>
      <c r="L878" s="87"/>
    </row>
    <row r="879" ht="15.75" customHeight="1">
      <c r="I879" s="1"/>
      <c r="J879" s="1"/>
      <c r="L879" s="87"/>
    </row>
    <row r="880" ht="15.75" customHeight="1">
      <c r="I880" s="1"/>
      <c r="J880" s="1"/>
      <c r="L880" s="87"/>
    </row>
    <row r="881" ht="15.75" customHeight="1">
      <c r="I881" s="1"/>
      <c r="J881" s="1"/>
      <c r="L881" s="87"/>
    </row>
    <row r="882" ht="15.75" customHeight="1">
      <c r="I882" s="1"/>
      <c r="J882" s="1"/>
      <c r="L882" s="87"/>
    </row>
    <row r="883" ht="15.75" customHeight="1">
      <c r="I883" s="1"/>
      <c r="J883" s="1"/>
      <c r="L883" s="87"/>
    </row>
    <row r="884" ht="15.75" customHeight="1">
      <c r="I884" s="1"/>
      <c r="J884" s="1"/>
      <c r="L884" s="87"/>
    </row>
    <row r="885" ht="15.75" customHeight="1">
      <c r="I885" s="1"/>
      <c r="J885" s="1"/>
      <c r="L885" s="87"/>
    </row>
    <row r="886" ht="15.75" customHeight="1">
      <c r="I886" s="1"/>
      <c r="J886" s="1"/>
      <c r="L886" s="87"/>
    </row>
    <row r="887" ht="15.75" customHeight="1">
      <c r="I887" s="1"/>
      <c r="J887" s="1"/>
      <c r="L887" s="87"/>
    </row>
    <row r="888" ht="15.75" customHeight="1">
      <c r="I888" s="1"/>
      <c r="J888" s="1"/>
      <c r="L888" s="87"/>
    </row>
    <row r="889" ht="15.75" customHeight="1">
      <c r="I889" s="1"/>
      <c r="J889" s="1"/>
      <c r="L889" s="87"/>
    </row>
    <row r="890" ht="15.75" customHeight="1">
      <c r="I890" s="1"/>
      <c r="J890" s="1"/>
      <c r="L890" s="87"/>
    </row>
    <row r="891" ht="15.75" customHeight="1">
      <c r="I891" s="1"/>
      <c r="J891" s="1"/>
      <c r="L891" s="87"/>
    </row>
    <row r="892" ht="15.75" customHeight="1">
      <c r="I892" s="1"/>
      <c r="J892" s="1"/>
      <c r="L892" s="87"/>
    </row>
    <row r="893" ht="15.75" customHeight="1">
      <c r="I893" s="1"/>
      <c r="J893" s="1"/>
      <c r="L893" s="87"/>
    </row>
    <row r="894" ht="15.75" customHeight="1">
      <c r="I894" s="1"/>
      <c r="J894" s="1"/>
      <c r="L894" s="87"/>
    </row>
    <row r="895" ht="15.75" customHeight="1">
      <c r="I895" s="1"/>
      <c r="J895" s="1"/>
      <c r="L895" s="87"/>
    </row>
    <row r="896" ht="15.75" customHeight="1">
      <c r="I896" s="1"/>
      <c r="J896" s="1"/>
      <c r="L896" s="87"/>
    </row>
    <row r="897" ht="15.75" customHeight="1">
      <c r="I897" s="1"/>
      <c r="J897" s="1"/>
      <c r="L897" s="87"/>
    </row>
    <row r="898" ht="15.75" customHeight="1">
      <c r="I898" s="1"/>
      <c r="J898" s="1"/>
      <c r="L898" s="87"/>
    </row>
    <row r="899" ht="15.75" customHeight="1">
      <c r="I899" s="1"/>
      <c r="J899" s="1"/>
      <c r="L899" s="87"/>
    </row>
    <row r="900" ht="15.75" customHeight="1">
      <c r="I900" s="1"/>
      <c r="J900" s="1"/>
      <c r="L900" s="87"/>
    </row>
    <row r="901" ht="15.75" customHeight="1">
      <c r="I901" s="1"/>
      <c r="J901" s="1"/>
      <c r="L901" s="87"/>
    </row>
    <row r="902" ht="15.75" customHeight="1">
      <c r="I902" s="1"/>
      <c r="J902" s="1"/>
      <c r="L902" s="87"/>
    </row>
    <row r="903" ht="15.75" customHeight="1">
      <c r="I903" s="1"/>
      <c r="J903" s="1"/>
      <c r="L903" s="87"/>
    </row>
    <row r="904" ht="15.75" customHeight="1">
      <c r="I904" s="1"/>
      <c r="J904" s="1"/>
      <c r="L904" s="87"/>
    </row>
    <row r="905" ht="15.75" customHeight="1">
      <c r="I905" s="1"/>
      <c r="J905" s="1"/>
      <c r="L905" s="87"/>
    </row>
    <row r="906" ht="15.75" customHeight="1">
      <c r="I906" s="1"/>
      <c r="J906" s="1"/>
      <c r="L906" s="87"/>
    </row>
    <row r="907" ht="15.75" customHeight="1">
      <c r="I907" s="1"/>
      <c r="J907" s="1"/>
      <c r="L907" s="87"/>
    </row>
    <row r="908" ht="15.75" customHeight="1">
      <c r="I908" s="1"/>
      <c r="J908" s="1"/>
      <c r="L908" s="87"/>
    </row>
    <row r="909" ht="15.75" customHeight="1">
      <c r="I909" s="1"/>
      <c r="J909" s="1"/>
      <c r="L909" s="87"/>
    </row>
    <row r="910" ht="15.75" customHeight="1">
      <c r="I910" s="1"/>
      <c r="J910" s="1"/>
      <c r="L910" s="87"/>
    </row>
    <row r="911" ht="15.75" customHeight="1">
      <c r="I911" s="1"/>
      <c r="J911" s="1"/>
      <c r="L911" s="87"/>
    </row>
    <row r="912" ht="15.75" customHeight="1">
      <c r="I912" s="1"/>
      <c r="J912" s="1"/>
      <c r="L912" s="87"/>
    </row>
    <row r="913" ht="15.75" customHeight="1">
      <c r="I913" s="1"/>
      <c r="J913" s="1"/>
      <c r="L913" s="87"/>
    </row>
    <row r="914" ht="15.75" customHeight="1">
      <c r="I914" s="1"/>
      <c r="J914" s="1"/>
      <c r="L914" s="87"/>
    </row>
    <row r="915" ht="15.75" customHeight="1">
      <c r="I915" s="1"/>
      <c r="J915" s="1"/>
      <c r="L915" s="87"/>
    </row>
    <row r="916" ht="15.75" customHeight="1">
      <c r="I916" s="1"/>
      <c r="J916" s="1"/>
      <c r="L916" s="87"/>
    </row>
    <row r="917" ht="15.75" customHeight="1">
      <c r="I917" s="1"/>
      <c r="J917" s="1"/>
      <c r="L917" s="87"/>
    </row>
    <row r="918" ht="15.75" customHeight="1">
      <c r="I918" s="1"/>
      <c r="J918" s="1"/>
      <c r="L918" s="87"/>
    </row>
    <row r="919" ht="15.75" customHeight="1">
      <c r="I919" s="1"/>
      <c r="J919" s="1"/>
      <c r="L919" s="87"/>
    </row>
    <row r="920" ht="15.75" customHeight="1">
      <c r="I920" s="1"/>
      <c r="J920" s="1"/>
      <c r="L920" s="87"/>
    </row>
    <row r="921" ht="15.75" customHeight="1">
      <c r="I921" s="1"/>
      <c r="J921" s="1"/>
      <c r="L921" s="87"/>
    </row>
    <row r="922" ht="15.75" customHeight="1">
      <c r="I922" s="1"/>
      <c r="J922" s="1"/>
      <c r="L922" s="87"/>
    </row>
    <row r="923" ht="15.75" customHeight="1">
      <c r="I923" s="1"/>
      <c r="J923" s="1"/>
      <c r="L923" s="87"/>
    </row>
    <row r="924" ht="15.75" customHeight="1">
      <c r="I924" s="1"/>
      <c r="J924" s="1"/>
      <c r="L924" s="87"/>
    </row>
    <row r="925" ht="15.75" customHeight="1">
      <c r="I925" s="1"/>
      <c r="J925" s="1"/>
      <c r="L925" s="87"/>
    </row>
    <row r="926" ht="15.75" customHeight="1">
      <c r="I926" s="1"/>
      <c r="J926" s="1"/>
      <c r="L926" s="87"/>
    </row>
    <row r="927" ht="15.75" customHeight="1">
      <c r="I927" s="1"/>
      <c r="J927" s="1"/>
      <c r="L927" s="87"/>
    </row>
    <row r="928" ht="15.75" customHeight="1">
      <c r="I928" s="1"/>
      <c r="J928" s="1"/>
      <c r="L928" s="87"/>
    </row>
    <row r="929" ht="15.75" customHeight="1">
      <c r="I929" s="1"/>
      <c r="J929" s="1"/>
      <c r="L929" s="87"/>
    </row>
    <row r="930" ht="15.75" customHeight="1">
      <c r="I930" s="1"/>
      <c r="J930" s="1"/>
      <c r="L930" s="87"/>
    </row>
    <row r="931" ht="15.75" customHeight="1">
      <c r="I931" s="1"/>
      <c r="J931" s="1"/>
      <c r="L931" s="87"/>
    </row>
    <row r="932" ht="15.75" customHeight="1">
      <c r="I932" s="1"/>
      <c r="J932" s="1"/>
      <c r="L932" s="87"/>
    </row>
    <row r="933" ht="15.75" customHeight="1">
      <c r="I933" s="1"/>
      <c r="J933" s="1"/>
      <c r="L933" s="87"/>
    </row>
    <row r="934" ht="15.75" customHeight="1">
      <c r="I934" s="1"/>
      <c r="J934" s="1"/>
      <c r="L934" s="87"/>
    </row>
    <row r="935" ht="15.75" customHeight="1">
      <c r="I935" s="1"/>
      <c r="J935" s="1"/>
      <c r="L935" s="87"/>
    </row>
    <row r="936" ht="15.75" customHeight="1">
      <c r="I936" s="1"/>
      <c r="J936" s="1"/>
      <c r="L936" s="87"/>
    </row>
    <row r="937" ht="15.75" customHeight="1">
      <c r="I937" s="1"/>
      <c r="J937" s="1"/>
      <c r="L937" s="87"/>
    </row>
    <row r="938" ht="15.75" customHeight="1">
      <c r="I938" s="1"/>
      <c r="J938" s="1"/>
      <c r="L938" s="87"/>
    </row>
    <row r="939" ht="15.75" customHeight="1">
      <c r="I939" s="1"/>
      <c r="J939" s="1"/>
      <c r="L939" s="87"/>
    </row>
    <row r="940" ht="15.75" customHeight="1">
      <c r="I940" s="1"/>
      <c r="J940" s="1"/>
      <c r="L940" s="87"/>
    </row>
    <row r="941" ht="15.75" customHeight="1">
      <c r="I941" s="1"/>
      <c r="J941" s="1"/>
      <c r="L941" s="87"/>
    </row>
    <row r="942" ht="15.75" customHeight="1">
      <c r="I942" s="1"/>
      <c r="J942" s="1"/>
      <c r="L942" s="87"/>
    </row>
    <row r="943" ht="15.75" customHeight="1">
      <c r="I943" s="1"/>
      <c r="J943" s="1"/>
      <c r="L943" s="87"/>
    </row>
    <row r="944" ht="15.75" customHeight="1">
      <c r="I944" s="1"/>
      <c r="J944" s="1"/>
      <c r="L944" s="87"/>
    </row>
    <row r="945" ht="15.75" customHeight="1">
      <c r="I945" s="1"/>
      <c r="J945" s="1"/>
      <c r="L945" s="87"/>
    </row>
    <row r="946" ht="15.75" customHeight="1">
      <c r="I946" s="1"/>
      <c r="J946" s="1"/>
      <c r="L946" s="87"/>
    </row>
    <row r="947" ht="15.75" customHeight="1">
      <c r="I947" s="1"/>
      <c r="J947" s="1"/>
      <c r="L947" s="87"/>
    </row>
    <row r="948" ht="15.75" customHeight="1">
      <c r="I948" s="1"/>
      <c r="J948" s="1"/>
      <c r="L948" s="87"/>
    </row>
    <row r="949" ht="15.75" customHeight="1">
      <c r="I949" s="1"/>
      <c r="J949" s="1"/>
      <c r="L949" s="87"/>
    </row>
    <row r="950" ht="15.75" customHeight="1">
      <c r="I950" s="1"/>
      <c r="J950" s="1"/>
      <c r="L950" s="87"/>
    </row>
    <row r="951" ht="15.75" customHeight="1">
      <c r="I951" s="1"/>
      <c r="J951" s="1"/>
      <c r="L951" s="87"/>
    </row>
    <row r="952" ht="15.75" customHeight="1">
      <c r="I952" s="1"/>
      <c r="J952" s="1"/>
      <c r="L952" s="87"/>
    </row>
    <row r="953" ht="15.75" customHeight="1">
      <c r="I953" s="1"/>
      <c r="J953" s="1"/>
      <c r="L953" s="87"/>
    </row>
    <row r="954" ht="15.75" customHeight="1">
      <c r="I954" s="1"/>
      <c r="J954" s="1"/>
      <c r="L954" s="87"/>
    </row>
    <row r="955" ht="15.75" customHeight="1">
      <c r="I955" s="1"/>
      <c r="J955" s="1"/>
      <c r="L955" s="87"/>
    </row>
    <row r="956" ht="15.75" customHeight="1">
      <c r="I956" s="1"/>
      <c r="J956" s="1"/>
      <c r="L956" s="87"/>
    </row>
    <row r="957" ht="15.75" customHeight="1">
      <c r="I957" s="1"/>
      <c r="J957" s="1"/>
      <c r="L957" s="87"/>
    </row>
    <row r="958" ht="15.75" customHeight="1">
      <c r="I958" s="1"/>
      <c r="J958" s="1"/>
      <c r="L958" s="87"/>
    </row>
    <row r="959" ht="15.75" customHeight="1">
      <c r="I959" s="1"/>
      <c r="J959" s="1"/>
      <c r="L959" s="87"/>
    </row>
    <row r="960" ht="15.75" customHeight="1">
      <c r="I960" s="1"/>
      <c r="J960" s="1"/>
      <c r="L960" s="87"/>
    </row>
    <row r="961" ht="15.75" customHeight="1">
      <c r="I961" s="1"/>
      <c r="J961" s="1"/>
      <c r="L961" s="87"/>
    </row>
    <row r="962" ht="15.75" customHeight="1">
      <c r="I962" s="1"/>
      <c r="J962" s="1"/>
      <c r="L962" s="87"/>
    </row>
    <row r="963" ht="15.75" customHeight="1">
      <c r="I963" s="1"/>
      <c r="J963" s="1"/>
      <c r="L963" s="87"/>
    </row>
    <row r="964" ht="15.75" customHeight="1">
      <c r="I964" s="1"/>
      <c r="J964" s="1"/>
      <c r="L964" s="87"/>
    </row>
    <row r="965" ht="15.75" customHeight="1">
      <c r="I965" s="1"/>
      <c r="J965" s="1"/>
      <c r="L965" s="87"/>
    </row>
    <row r="966" ht="15.75" customHeight="1">
      <c r="I966" s="1"/>
      <c r="J966" s="1"/>
      <c r="L966" s="87"/>
    </row>
    <row r="967" ht="15.75" customHeight="1">
      <c r="I967" s="1"/>
      <c r="J967" s="1"/>
      <c r="L967" s="87"/>
    </row>
    <row r="968" ht="15.75" customHeight="1">
      <c r="I968" s="1"/>
      <c r="J968" s="1"/>
      <c r="L968" s="87"/>
    </row>
    <row r="969" ht="15.75" customHeight="1">
      <c r="I969" s="1"/>
      <c r="J969" s="1"/>
      <c r="L969" s="87"/>
    </row>
    <row r="970" ht="15.75" customHeight="1">
      <c r="I970" s="1"/>
      <c r="J970" s="1"/>
      <c r="L970" s="87"/>
    </row>
    <row r="971" ht="15.75" customHeight="1">
      <c r="I971" s="1"/>
      <c r="J971" s="1"/>
      <c r="L971" s="87"/>
    </row>
    <row r="972" ht="15.75" customHeight="1">
      <c r="I972" s="1"/>
      <c r="J972" s="1"/>
      <c r="L972" s="87"/>
    </row>
    <row r="973" ht="15.75" customHeight="1">
      <c r="I973" s="1"/>
      <c r="J973" s="1"/>
      <c r="L973" s="87"/>
    </row>
    <row r="974" ht="15.75" customHeight="1">
      <c r="I974" s="1"/>
      <c r="J974" s="1"/>
      <c r="L974" s="87"/>
    </row>
    <row r="975" ht="15.75" customHeight="1">
      <c r="I975" s="1"/>
      <c r="J975" s="1"/>
      <c r="L975" s="87"/>
    </row>
    <row r="976" ht="15.75" customHeight="1">
      <c r="I976" s="1"/>
      <c r="J976" s="1"/>
      <c r="L976" s="87"/>
    </row>
    <row r="977" ht="15.75" customHeight="1">
      <c r="I977" s="1"/>
      <c r="J977" s="1"/>
      <c r="L977" s="87"/>
    </row>
    <row r="978" ht="15.75" customHeight="1">
      <c r="I978" s="1"/>
      <c r="J978" s="1"/>
      <c r="L978" s="87"/>
    </row>
    <row r="979" ht="15.75" customHeight="1">
      <c r="I979" s="1"/>
      <c r="J979" s="1"/>
      <c r="L979" s="87"/>
    </row>
    <row r="980" ht="15.75" customHeight="1">
      <c r="I980" s="1"/>
      <c r="J980" s="1"/>
      <c r="L980" s="87"/>
    </row>
    <row r="981" ht="15.75" customHeight="1">
      <c r="I981" s="1"/>
      <c r="J981" s="1"/>
      <c r="L981" s="87"/>
    </row>
    <row r="982" ht="15.75" customHeight="1">
      <c r="I982" s="1"/>
      <c r="J982" s="1"/>
      <c r="L982" s="87"/>
    </row>
    <row r="983" ht="15.75" customHeight="1">
      <c r="I983" s="1"/>
      <c r="J983" s="1"/>
      <c r="L983" s="87"/>
    </row>
    <row r="984" ht="15.75" customHeight="1">
      <c r="I984" s="1"/>
      <c r="J984" s="1"/>
      <c r="L984" s="87"/>
    </row>
    <row r="985" ht="15.75" customHeight="1">
      <c r="I985" s="1"/>
      <c r="J985" s="1"/>
      <c r="L985" s="87"/>
    </row>
    <row r="986" ht="15.75" customHeight="1">
      <c r="I986" s="1"/>
      <c r="J986" s="1"/>
      <c r="L986" s="87"/>
    </row>
    <row r="987" ht="15.75" customHeight="1">
      <c r="I987" s="1"/>
      <c r="J987" s="1"/>
      <c r="L987" s="87"/>
    </row>
    <row r="988" ht="15.75" customHeight="1">
      <c r="I988" s="1"/>
      <c r="J988" s="1"/>
      <c r="L988" s="87"/>
    </row>
    <row r="989" ht="15.75" customHeight="1">
      <c r="I989" s="1"/>
      <c r="J989" s="1"/>
      <c r="L989" s="87"/>
    </row>
    <row r="990" ht="15.75" customHeight="1">
      <c r="I990" s="1"/>
      <c r="J990" s="1"/>
      <c r="L990" s="87"/>
    </row>
    <row r="991" ht="15.75" customHeight="1">
      <c r="I991" s="1"/>
      <c r="J991" s="1"/>
      <c r="L991" s="87"/>
    </row>
    <row r="992" ht="15.75" customHeight="1">
      <c r="I992" s="1"/>
      <c r="J992" s="1"/>
      <c r="L992" s="87"/>
    </row>
    <row r="993" ht="15.75" customHeight="1">
      <c r="I993" s="1"/>
      <c r="J993" s="1"/>
      <c r="L993" s="87"/>
    </row>
    <row r="994" ht="15.75" customHeight="1">
      <c r="I994" s="1"/>
      <c r="J994" s="1"/>
      <c r="L994" s="87"/>
    </row>
    <row r="995" ht="15.75" customHeight="1">
      <c r="I995" s="1"/>
      <c r="J995" s="1"/>
      <c r="L995" s="87"/>
    </row>
    <row r="996" ht="15.75" customHeight="1">
      <c r="I996" s="1"/>
      <c r="J996" s="1"/>
      <c r="L996" s="87"/>
    </row>
    <row r="997" ht="15.75" customHeight="1">
      <c r="I997" s="1"/>
      <c r="J997" s="1"/>
      <c r="L997" s="87"/>
    </row>
    <row r="998" ht="15.75" customHeight="1">
      <c r="I998" s="1"/>
      <c r="J998" s="1"/>
      <c r="L998" s="87"/>
    </row>
    <row r="999" ht="15.75" customHeight="1">
      <c r="I999" s="1"/>
      <c r="J999" s="1"/>
      <c r="L999" s="87"/>
    </row>
    <row r="1000" ht="15.75" customHeight="1">
      <c r="I1000" s="1"/>
      <c r="J1000" s="1"/>
      <c r="L1000" s="87"/>
    </row>
  </sheetData>
  <mergeCells count="1">
    <mergeCell ref="A1:P1"/>
  </mergeCells>
  <conditionalFormatting sqref="F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1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:H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5">
    <cfRule type="colorScale" priority="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">
    <cfRule type="colorScale" priority="1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">
    <cfRule type="colorScale" priority="1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">
    <cfRule type="colorScale" priority="1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">
    <cfRule type="colorScale" priority="2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">
    <cfRule type="colorScale" priority="2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">
    <cfRule type="colorScale" priority="2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">
    <cfRule type="colorScale" priority="2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3:K10">
    <cfRule type="cellIs" dxfId="0" priority="27" operator="equal">
      <formula>"Bajo"</formula>
    </cfRule>
  </conditionalFormatting>
  <conditionalFormatting sqref="K3:K10">
    <cfRule type="cellIs" dxfId="1" priority="28" operator="equal">
      <formula>"Medio"</formula>
    </cfRule>
  </conditionalFormatting>
  <conditionalFormatting sqref="K3:K10">
    <cfRule type="cellIs" dxfId="2" priority="29" operator="equal">
      <formula>"Alto"</formula>
    </cfRule>
  </conditionalFormatting>
  <conditionalFormatting sqref="K3:K10">
    <cfRule type="cellIs" dxfId="3" priority="30" operator="equal">
      <formula>"Muy Alto"</formula>
    </cfRule>
  </conditionalFormatting>
  <conditionalFormatting sqref="K3:K10">
    <cfRule type="cellIs" dxfId="4" priority="31" operator="equal">
      <formula>"Bajo "</formula>
    </cfRule>
  </conditionalFormatting>
  <conditionalFormatting sqref="K3:K10">
    <cfRule type="cellIs" dxfId="4" priority="32" operator="equal">
      <formula>"Bajo"</formula>
    </cfRule>
  </conditionalFormatting>
  <conditionalFormatting sqref="K3:K10">
    <cfRule type="cellIs" dxfId="5" priority="33" operator="equal">
      <formula>"Medio"</formula>
    </cfRule>
  </conditionalFormatting>
  <conditionalFormatting sqref="K3:K10">
    <cfRule type="cellIs" dxfId="6" priority="34" operator="equal">
      <formula>"Alto"</formula>
    </cfRule>
  </conditionalFormatting>
  <conditionalFormatting sqref="K3:K10">
    <cfRule type="containsText" dxfId="7" priority="35" operator="containsText" text="Muy Alto">
      <formula>NOT(ISERROR(SEARCH(("Muy Alto"),(K3))))</formula>
    </cfRule>
  </conditionalFormatting>
  <conditionalFormatting sqref="K3:K10">
    <cfRule type="expression" dxfId="8" priority="36">
      <formula>"Muy Alto"</formula>
    </cfRule>
  </conditionalFormatting>
  <conditionalFormatting sqref="K4">
    <cfRule type="colorScale" priority="3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4">
    <cfRule type="colorScale" priority="3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3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">
    <cfRule type="colorScale" priority="4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4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4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5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olorScale" priority="5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olorScale" priority="5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1">
    <cfRule type="cellIs" dxfId="0" priority="53" operator="equal">
      <formula>"Bajo"</formula>
    </cfRule>
  </conditionalFormatting>
  <conditionalFormatting sqref="K11">
    <cfRule type="cellIs" dxfId="1" priority="54" operator="equal">
      <formula>"Medio"</formula>
    </cfRule>
  </conditionalFormatting>
  <conditionalFormatting sqref="K11">
    <cfRule type="cellIs" dxfId="2" priority="55" operator="equal">
      <formula>"Alto"</formula>
    </cfRule>
  </conditionalFormatting>
  <conditionalFormatting sqref="K11">
    <cfRule type="cellIs" dxfId="3" priority="56" operator="equal">
      <formula>"Muy Alto"</formula>
    </cfRule>
  </conditionalFormatting>
  <conditionalFormatting sqref="K11">
    <cfRule type="cellIs" dxfId="4" priority="57" operator="equal">
      <formula>"Bajo"</formula>
    </cfRule>
  </conditionalFormatting>
  <conditionalFormatting sqref="K11">
    <cfRule type="cellIs" dxfId="5" priority="58" operator="equal">
      <formula>"Medio"</formula>
    </cfRule>
  </conditionalFormatting>
  <conditionalFormatting sqref="K11">
    <cfRule type="cellIs" dxfId="6" priority="59" operator="equal">
      <formula>"Alto"</formula>
    </cfRule>
  </conditionalFormatting>
  <conditionalFormatting sqref="K11">
    <cfRule type="containsText" dxfId="7" priority="60" operator="containsText" text="Muy Alto">
      <formula>NOT(ISERROR(SEARCH(("Muy Alto"),(K11))))</formula>
    </cfRule>
  </conditionalFormatting>
  <conditionalFormatting sqref="K11">
    <cfRule type="cellIs" dxfId="1" priority="61" operator="equal">
      <formula>"Medio"</formula>
    </cfRule>
  </conditionalFormatting>
  <conditionalFormatting sqref="K11">
    <cfRule type="cellIs" dxfId="2" priority="62" operator="equal">
      <formula>"Alto"</formula>
    </cfRule>
  </conditionalFormatting>
  <conditionalFormatting sqref="K11">
    <cfRule type="cellIs" dxfId="3" priority="63" operator="equal">
      <formula>"Muy Alto"</formula>
    </cfRule>
  </conditionalFormatting>
  <conditionalFormatting sqref="K11">
    <cfRule type="cellIs" dxfId="4" priority="64" operator="equal">
      <formula>"Bajo "</formula>
    </cfRule>
  </conditionalFormatting>
  <conditionalFormatting sqref="K11">
    <cfRule type="expression" dxfId="8" priority="65">
      <formula>"Muy Alto"</formula>
    </cfRule>
  </conditionalFormatting>
  <dataValidations>
    <dataValidation type="list" allowBlank="1" showErrorMessage="1" sqref="O4">
      <formula1>$O$25:$O$28</formula1>
    </dataValidation>
    <dataValidation type="list" allowBlank="1" showErrorMessage="1" sqref="F3 F5:F11">
      <formula1>$F$26:$F$29</formula1>
    </dataValidation>
    <dataValidation type="list" allowBlank="1" showErrorMessage="1" sqref="O3 O5:O11">
      <formula1>$O$26:$O$29</formula1>
    </dataValidation>
    <dataValidation type="list" allowBlank="1" showErrorMessage="1" sqref="C4">
      <formula1>$C$25:$C$30</formula1>
    </dataValidation>
    <dataValidation type="list" allowBlank="1" showErrorMessage="1" sqref="H3 H5:H11">
      <formula1>$H$26:$H$30</formula1>
    </dataValidation>
    <dataValidation type="list" allowBlank="1" showErrorMessage="1" sqref="F4">
      <formula1>$F$25:$F$28</formula1>
    </dataValidation>
    <dataValidation type="list" allowBlank="1" showErrorMessage="1" sqref="C3 C5:C11">
      <formula1>$C$26:$C$31</formula1>
    </dataValidation>
    <dataValidation type="list" allowBlank="1" showErrorMessage="1" sqref="G4">
      <formula1>$G$25:$G$29</formula1>
    </dataValidation>
    <dataValidation type="list" allowBlank="1" showErrorMessage="1" sqref="H4">
      <formula1>$H$25:$H$29</formula1>
    </dataValidation>
    <dataValidation type="list" allowBlank="1" showErrorMessage="1" sqref="G3 G5:G11">
      <formula1>$G$26:$G$30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2012-02-15T17:56:08Z</dcterms:created>
  <dc:creator>SNP</dc:creator>
</cp:coreProperties>
</file>