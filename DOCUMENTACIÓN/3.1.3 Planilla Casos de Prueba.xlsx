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Funcionales" sheetId="2" r:id="rId5"/>
    <sheet state="visible" name="Técnicas" sheetId="3" r:id="rId6"/>
    <sheet state="visible" name="Progreso" sheetId="4" r:id="rId7"/>
  </sheets>
  <definedNames/>
  <calcPr/>
  <extLst>
    <ext uri="GoogleSheetsCustomDataVersion2">
      <go:sheetsCustomData xmlns:go="http://customooxmlschemas.google.com/" r:id="rId8" roundtripDataChecksum="DyqoRRwQvtRRwnndVcUf/zUPE8sriWFYJMkXts7eYqU="/>
    </ext>
  </extLst>
</workbook>
</file>

<file path=xl/sharedStrings.xml><?xml version="1.0" encoding="utf-8"?>
<sst xmlns="http://schemas.openxmlformats.org/spreadsheetml/2006/main" count="302" uniqueCount="246">
  <si>
    <t>VAYO Solutions – Plan de Pruebas</t>
  </si>
  <si>
    <t>Proyecto</t>
  </si>
  <si>
    <t>VAYO Solutions – Sistema de Gestión Comercial</t>
  </si>
  <si>
    <t>Versión</t>
  </si>
  <si>
    <t>2.1</t>
  </si>
  <si>
    <t>Fecha</t>
  </si>
  <si>
    <t>Junio 2026</t>
  </si>
  <si>
    <t>Responsable</t>
  </si>
  <si>
    <t>Equipo de QA</t>
  </si>
  <si>
    <t>Stack</t>
  </si>
  <si>
    <t>Angular 17 + Node.js/Express + MongoDB</t>
  </si>
  <si>
    <t>Módulos cubiertos</t>
  </si>
  <si>
    <t>• Clientes</t>
  </si>
  <si>
    <t>Registro, edición, búsqueda</t>
  </si>
  <si>
    <t>• Cotizaciones</t>
  </si>
  <si>
    <t>Creación, descarga PDF, envío correo</t>
  </si>
  <si>
    <t>• Ventas</t>
  </si>
  <si>
    <t>Registro y seguimiento</t>
  </si>
  <si>
    <t>• Catálogo</t>
  </si>
  <si>
    <t>Administración de repuestos</t>
  </si>
  <si>
    <t>• Dashboard</t>
  </si>
  <si>
    <t>Reportes e informes</t>
  </si>
  <si>
    <t>• Seguridad</t>
  </si>
  <si>
    <t>Autenticación y autorización</t>
  </si>
  <si>
    <t>Hojas incluidas</t>
  </si>
  <si>
    <t>1. Resumen</t>
  </si>
  <si>
    <t>Este índice</t>
  </si>
  <si>
    <t>2. Funcionales</t>
  </si>
  <si>
    <t>Casos de prueba funcionales por módulo</t>
  </si>
  <si>
    <t>3. Técnicas</t>
  </si>
  <si>
    <t>Pruebas de rendimiento, seguridad y compatibilidad</t>
  </si>
  <si>
    <t>4. Progreso</t>
  </si>
  <si>
    <t>Seguimiento de ejecución</t>
  </si>
  <si>
    <t>ID</t>
  </si>
  <si>
    <t>Módulo</t>
  </si>
  <si>
    <t>Caso de Prueba</t>
  </si>
  <si>
    <t>Precondición</t>
  </si>
  <si>
    <t>Pasos</t>
  </si>
  <si>
    <t>Resultado Esperado</t>
  </si>
  <si>
    <t>F-001</t>
  </si>
  <si>
    <t>Clientes</t>
  </si>
  <si>
    <t>Crear cliente nuevo</t>
  </si>
  <si>
    <t>Usuario autenticado en el sistema</t>
  </si>
  <si>
    <t>1. Ir a módulo Clientes
2. Clic en 'Nuevo Cliente'
3. Ingresar nombre y rubro
4. Guardar</t>
  </si>
  <si>
    <t>Cliente se crea correctamente y aparece en la lista</t>
  </si>
  <si>
    <t>F-002</t>
  </si>
  <si>
    <t>Validar campos obligatorios</t>
  </si>
  <si>
    <t>Formulario de cliente abierto</t>
  </si>
  <si>
    <t>1. Dejar campos vacíos
2. Intentar guardar</t>
  </si>
  <si>
    <t>Sistema muestra errores de validación en campos requeridos</t>
  </si>
  <si>
    <t>F-003</t>
  </si>
  <si>
    <t>Buscar cliente existente</t>
  </si>
  <si>
    <t>Al menos 1 cliente registrado</t>
  </si>
  <si>
    <t>1. Ir a listado de clientes
2. Escribir nombre en buscador</t>
  </si>
  <si>
    <t>Se filtra y muestra el cliente correctamente</t>
  </si>
  <si>
    <t>F-004</t>
  </si>
  <si>
    <t>Editar datos de cliente</t>
  </si>
  <si>
    <t>Cliente existente</t>
  </si>
  <si>
    <t>1. Seleccionar cliente
2. Editar nombre o rubro
3. Guardar</t>
  </si>
  <si>
    <t>Cambios se persisten correctamente</t>
  </si>
  <si>
    <t>F-005</t>
  </si>
  <si>
    <t>Eliminar cliente</t>
  </si>
  <si>
    <t>Cliente sin ventas asociadas</t>
  </si>
  <si>
    <t>1. Seleccionar cliente
2. Clic en Eliminar
3. Confirmar</t>
  </si>
  <si>
    <t>Cliente se elimina del sistema</t>
  </si>
  <si>
    <t>F-006</t>
  </si>
  <si>
    <t>Catálogo</t>
  </si>
  <si>
    <t>Crear repuesto nuevo</t>
  </si>
  <si>
    <t>Admin autenticado</t>
  </si>
  <si>
    <t>1. Ir a Catálogo
2. Clic en 'Nuevo Repuesto'
3. Ingresar nombre, SKU, precio
4. Guardar</t>
  </si>
  <si>
    <t>Repuesto aparece en el catálogo</t>
  </si>
  <si>
    <t>F-007</t>
  </si>
  <si>
    <t>Editar precio de repuesto</t>
  </si>
  <si>
    <t>Repuesto existente</t>
  </si>
  <si>
    <t>1. Seleccionar repuesto
2. Modificar precio
3. Guardar</t>
  </si>
  <si>
    <t>Precio actualizado correctamente</t>
  </si>
  <si>
    <t>F-008</t>
  </si>
  <si>
    <t>Buscar repuesto por nombre</t>
  </si>
  <si>
    <t>Catálogo con productos</t>
  </si>
  <si>
    <t>1. Escribir nombre en buscador</t>
  </si>
  <si>
    <t>Se muestran resultados relevantes</t>
  </si>
  <si>
    <t>F-009</t>
  </si>
  <si>
    <t>Buscar repuesto por SKU</t>
  </si>
  <si>
    <t>1. Escribir SKU en buscador</t>
  </si>
  <si>
    <t>Se muestra el repuesto exacto</t>
  </si>
  <si>
    <t>F-010</t>
  </si>
  <si>
    <t>Cotizaciones</t>
  </si>
  <si>
    <t>Crear cotización</t>
  </si>
  <si>
    <t>Clientes y repuestos existentes</t>
  </si>
  <si>
    <t>1. Ir a Cotizaciones
2. Seleccionar cliente
3. Agregar productos
4. Generar cotización</t>
  </si>
  <si>
    <t>Cotización creada y visible en listado</t>
  </si>
  <si>
    <t>F-011</t>
  </si>
  <si>
    <t>Agregar múltiples productos</t>
  </si>
  <si>
    <t>Cotización en curso</t>
  </si>
  <si>
    <t>1. Agregar 3+ productos distintos
2. Verificar subtotales</t>
  </si>
  <si>
    <t>Cantidades y totales calculan correctamente</t>
  </si>
  <si>
    <t>F-012</t>
  </si>
  <si>
    <t>Descargar cotización PDF</t>
  </si>
  <si>
    <t>Cotización creada</t>
  </si>
  <si>
    <t>1. Abrir cotización
2. Clic en 'Descargar PDF'</t>
  </si>
  <si>
    <t>Archivo PDF descargado con datos correctos</t>
  </si>
  <si>
    <t>F-013</t>
  </si>
  <si>
    <t>Enviar cotización por email</t>
  </si>
  <si>
    <t>Cotización creada, cliente con email</t>
  </si>
  <si>
    <t>1. Abrir cotización
2. Clic en 'Enviar por Email'</t>
  </si>
  <si>
    <t>Email enviado al correo de ventas</t>
  </si>
  <si>
    <t>F-014</t>
  </si>
  <si>
    <t>Modificar cantidad de producto</t>
  </si>
  <si>
    <t>Cotización en edición</t>
  </si>
  <si>
    <t>1. Cambiar cantidad de un ítem
2. Verificar total</t>
  </si>
  <si>
    <t>Total recalculado automáticamente</t>
  </si>
  <si>
    <t>F-015</t>
  </si>
  <si>
    <t>Eliminar producto de cotización</t>
  </si>
  <si>
    <t>Cotización con productos</t>
  </si>
  <si>
    <t>1. Clic en eliminar ítem
2. Confirmar</t>
  </si>
  <si>
    <t>Ítem removido y total actualizado</t>
  </si>
  <si>
    <t>F-016</t>
  </si>
  <si>
    <t>Ventas</t>
  </si>
  <si>
    <t>Registrar venta desde cotización</t>
  </si>
  <si>
    <t>Cotización aprobada</t>
  </si>
  <si>
    <t>1. Abrir cotización
2. Convertir a venta</t>
  </si>
  <si>
    <t>Venta registrada y cotización marcada como cerrada</t>
  </si>
  <si>
    <t>F-017</t>
  </si>
  <si>
    <t>Ver historial de ventas</t>
  </si>
  <si>
    <t>Al menos 1 venta registrada</t>
  </si>
  <si>
    <t>1. Ir a módulo Ventas
2. Ver listado</t>
  </si>
  <si>
    <t>Se muestra listado con fecha, cliente y monto</t>
  </si>
  <si>
    <t>F-018</t>
  </si>
  <si>
    <t>Filtrar ventas por fecha</t>
  </si>
  <si>
    <t>Ventas registradas</t>
  </si>
  <si>
    <t>1. Seleccionar rango de fechas
2. Aplicar filtro</t>
  </si>
  <si>
    <t>Solo se muestran ventas del período</t>
  </si>
  <si>
    <t>F-019</t>
  </si>
  <si>
    <t>Reportes</t>
  </si>
  <si>
    <t>Ver informe productos más vendidos</t>
  </si>
  <si>
    <t>1. Ir a Reportes
2. Seleccionar 'Top Productos'</t>
  </si>
  <si>
    <t>Lista ordenada de productos por cantidad vendida</t>
  </si>
  <si>
    <t>F-020</t>
  </si>
  <si>
    <t>Ver movimiento por cliente</t>
  </si>
  <si>
    <t>Ventas y cotizaciones registradas</t>
  </si>
  <si>
    <t>1. Ir a Reportes
2. Seleccionar cliente</t>
  </si>
  <si>
    <t>Se muestra historial completo del cliente</t>
  </si>
  <si>
    <t>F-021</t>
  </si>
  <si>
    <t>Dashboard resumen</t>
  </si>
  <si>
    <t>Datos en el sistema</t>
  </si>
  <si>
    <t>1. Ir al Dashboard</t>
  </si>
  <si>
    <t>Métricas visibles: ventas totales, cotizaciones activas, clientes</t>
  </si>
  <si>
    <t>F-022</t>
  </si>
  <si>
    <t>Autenticación</t>
  </si>
  <si>
    <t>Login con credenciales válidas</t>
  </si>
  <si>
    <t>Usuario registrado</t>
  </si>
  <si>
    <t>1. Ingresar email y contraseña correctos
2. Clic en ingresar</t>
  </si>
  <si>
    <t>Acceso concedido, redirige al dashboard</t>
  </si>
  <si>
    <t>F-023</t>
  </si>
  <si>
    <t>Login con credenciales inválidas</t>
  </si>
  <si>
    <t>1. Ingresar contraseña incorrecta</t>
  </si>
  <si>
    <t>Sistema muestra mensaje de error, no da acceso</t>
  </si>
  <si>
    <t>F-024</t>
  </si>
  <si>
    <t>Cierre de sesión</t>
  </si>
  <si>
    <t>Usuario autenticado</t>
  </si>
  <si>
    <t>1. Clic en 'Cerrar sesión'</t>
  </si>
  <si>
    <t>Sesión cerrada, redirige al login</t>
  </si>
  <si>
    <t>Categoría</t>
  </si>
  <si>
    <t>Prueba</t>
  </si>
  <si>
    <t>Descripción / Criterio de Aceptación</t>
  </si>
  <si>
    <t>Herramienta</t>
  </si>
  <si>
    <t>T-001</t>
  </si>
  <si>
    <t>Rendimiento</t>
  </si>
  <si>
    <t>Tiempo carga inicial</t>
  </si>
  <si>
    <t>La app Angular carga en &lt; 3 s en conexión 4G</t>
  </si>
  <si>
    <t>Lighthouse / DevTools</t>
  </si>
  <si>
    <t>T-002</t>
  </si>
  <si>
    <t>Tiempo respuesta API</t>
  </si>
  <si>
    <t>Endpoints responden en &lt; 500 ms bajo carga normal</t>
  </si>
  <si>
    <t>Postman / k6</t>
  </si>
  <si>
    <t>T-003</t>
  </si>
  <si>
    <t>Carga concurrente</t>
  </si>
  <si>
    <t>El sistema soporta 20 usuarios simultáneos sin degradación</t>
  </si>
  <si>
    <t>k6</t>
  </si>
  <si>
    <t>T-004</t>
  </si>
  <si>
    <t>Generación PDF</t>
  </si>
  <si>
    <t>PDF de cotización se genera en &lt; 5 s</t>
  </si>
  <si>
    <t>Postman</t>
  </si>
  <si>
    <t>T-005</t>
  </si>
  <si>
    <t>Seguridad</t>
  </si>
  <si>
    <t>JWT válido requerido</t>
  </si>
  <si>
    <t>Rutas protegidas devuelven 401 sin token</t>
  </si>
  <si>
    <t>T-006</t>
  </si>
  <si>
    <t>Token expirado rechazado</t>
  </si>
  <si>
    <t>Token vencido recibe 401 y mensaje claro</t>
  </si>
  <si>
    <t>T-007</t>
  </si>
  <si>
    <t>Inyección SQL/NoSQL</t>
  </si>
  <si>
    <t>Campos no procesan caracteres especiales maliciosos</t>
  </si>
  <si>
    <t>Manual / OWASP ZAP</t>
  </si>
  <si>
    <t>T-008</t>
  </si>
  <si>
    <t>XSS en formularios</t>
  </si>
  <si>
    <t>Inputs sanitizan scripts HTML</t>
  </si>
  <si>
    <t>Manual</t>
  </si>
  <si>
    <t>T-009</t>
  </si>
  <si>
    <t>CORS restringido</t>
  </si>
  <si>
    <t>Solo orígenes permitidos pueden consumir la API</t>
  </si>
  <si>
    <t>T-010</t>
  </si>
  <si>
    <t>Compatibilidad</t>
  </si>
  <si>
    <t>Chrome (último)</t>
  </si>
  <si>
    <t>UI funciona correctamente en Chrome</t>
  </si>
  <si>
    <t>T-011</t>
  </si>
  <si>
    <t>Firefox (último)</t>
  </si>
  <si>
    <t>UI funciona correctamente en Firefox</t>
  </si>
  <si>
    <t>T-012</t>
  </si>
  <si>
    <t>Edge (último)</t>
  </si>
  <si>
    <t>UI funciona correctamente en Edge</t>
  </si>
  <si>
    <t>T-013</t>
  </si>
  <si>
    <t>Mobile responsive</t>
  </si>
  <si>
    <t>Layout se adapta a pantallas 375 px (iPhone SE)</t>
  </si>
  <si>
    <t>DevTools / dispositivo real</t>
  </si>
  <si>
    <t>T-014</t>
  </si>
  <si>
    <t>Base de Datos</t>
  </si>
  <si>
    <t>Persistencia de datos</t>
  </si>
  <si>
    <t>Datos persisten tras reinicio del servidor</t>
  </si>
  <si>
    <t>T-015</t>
  </si>
  <si>
    <t>Índices de búsqueda</t>
  </si>
  <si>
    <t>Búsquedas en colecciones grandes &lt; 200 ms</t>
  </si>
  <si>
    <t>MongoDB Compass</t>
  </si>
  <si>
    <t>T-016</t>
  </si>
  <si>
    <t>Integridad referencial</t>
  </si>
  <si>
    <t>No se eliminan clientes con cotizaciones activas</t>
  </si>
  <si>
    <t>T-017</t>
  </si>
  <si>
    <t>API REST</t>
  </si>
  <si>
    <t>CRUD Clientes</t>
  </si>
  <si>
    <t>POST/GET/PUT/DELETE /api/clientes retornan códigos correctos</t>
  </si>
  <si>
    <t>T-018</t>
  </si>
  <si>
    <t>CRUD Cotizaciones</t>
  </si>
  <si>
    <t>POST/GET/PUT/DELETE /api/cotizaciones retornan códigos correctos</t>
  </si>
  <si>
    <t>T-019</t>
  </si>
  <si>
    <t>CRUD Repuestos</t>
  </si>
  <si>
    <t>POST/GET/PUT/DELETE /api/repuestos retornan códigos correctos</t>
  </si>
  <si>
    <t>T-020</t>
  </si>
  <si>
    <t>Manejo de errores</t>
  </si>
  <si>
    <t>Errores devuelven JSON estructurado con código y mensaje</t>
  </si>
  <si>
    <t>Total Casos</t>
  </si>
  <si>
    <t>Aprobados</t>
  </si>
  <si>
    <t>Fallidos</t>
  </si>
  <si>
    <t>Pendientes</t>
  </si>
  <si>
    <t>% Completado</t>
  </si>
  <si>
    <t>Técnicas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</si>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</sst>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20.0"/>
      <color rgb="FFFFFFFF"/>
      <name val="Arial"/>
    </font>
    <font/>
    <font>
      <sz val="14.0"/>
      <color rgb="FF1A1A1A"/>
      <name val="Arial"/>
    </font>
    <font>
      <sz val="14.0"/>
      <color rgb="FF444444"/>
      <name val="Arial"/>
    </font>
    <font>
      <sz val="14.0"/>
      <color rgb="FF0C447C"/>
      <name val="Arial"/>
    </font>
    <font>
      <b/>
      <sz val="14.0"/>
      <color rgb="FF0C447C"/>
      <name val="Arial"/>
    </font>
    <font>
      <b/>
      <sz val="9.0"/>
      <color rgb="FFFFFFFF"/>
      <name val="Arial"/>
    </font>
    <font>
      <sz val="9.0"/>
      <color rgb="FF1A1A1A"/>
      <name val="Arial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447C"/>
        <bgColor rgb="FF0C447C"/>
      </patternFill>
    </fill>
    <fill>
      <patternFill patternType="solid">
        <fgColor rgb="FFF1EFE8"/>
        <bgColor rgb="FFF1EFE8"/>
      </patternFill>
    </fill>
    <fill>
      <patternFill patternType="solid">
        <fgColor rgb="FFFFFFFF"/>
        <bgColor rgb="FFFFFFFF"/>
      </patternFill>
    </fill>
    <fill>
      <patternFill patternType="solid">
        <fgColor rgb="FFE6F1FB"/>
        <bgColor rgb="FFE6F1FB"/>
      </patternFill>
    </fill>
    <fill>
      <patternFill patternType="solid">
        <fgColor rgb="FF185FA5"/>
        <bgColor rgb="FF185FA5"/>
      </patternFill>
    </fill>
  </fills>
  <borders count="4">
    <border/>
    <border>
      <left/>
      <top/>
      <bottom/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shrinkToFit="0" vertical="bottom" wrapText="0"/>
    </xf>
    <xf borderId="3" fillId="3" fontId="4" numFmtId="0" xfId="0" applyAlignment="1" applyBorder="1" applyFont="1">
      <alignment shrinkToFit="0" vertical="bottom" wrapText="0"/>
    </xf>
    <xf borderId="3" fillId="4" fontId="3" numFmtId="0" xfId="0" applyAlignment="1" applyBorder="1" applyFill="1" applyFont="1">
      <alignment shrinkToFit="0" vertical="bottom" wrapText="0"/>
    </xf>
    <xf borderId="3" fillId="4" fontId="4" numFmtId="49" xfId="0" applyAlignment="1" applyBorder="1" applyFont="1" applyNumberFormat="1">
      <alignment horizontal="left" readingOrder="0" shrinkToFit="0" vertical="bottom" wrapText="0"/>
    </xf>
    <xf borderId="3" fillId="3" fontId="4" numFmtId="49" xfId="0" applyAlignment="1" applyBorder="1" applyFont="1" applyNumberFormat="1">
      <alignment horizontal="left" readingOrder="0" shrinkToFit="0" vertical="bottom" wrapText="0"/>
    </xf>
    <xf borderId="3" fillId="4" fontId="4" numFmtId="0" xfId="0" applyAlignment="1" applyBorder="1" applyFont="1">
      <alignment shrinkToFit="0" vertical="bottom" wrapText="0"/>
    </xf>
    <xf borderId="3" fillId="4" fontId="5" numFmtId="0" xfId="0" applyAlignment="1" applyBorder="1" applyFont="1">
      <alignment shrinkToFit="0" vertical="bottom" wrapText="0"/>
    </xf>
    <xf borderId="3" fillId="5" fontId="6" numFmtId="0" xfId="0" applyAlignment="1" applyBorder="1" applyFill="1" applyFont="1">
      <alignment shrinkToFit="0" vertical="bottom" wrapText="0"/>
    </xf>
    <xf borderId="3" fillId="5" fontId="4" numFmtId="0" xfId="0" applyAlignment="1" applyBorder="1" applyFont="1">
      <alignment shrinkToFit="0" vertical="bottom" wrapText="0"/>
    </xf>
    <xf borderId="3" fillId="2" fontId="7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left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3" fillId="3" fontId="8" numFmtId="0" xfId="0" applyAlignment="1" applyBorder="1" applyFont="1">
      <alignment horizontal="left" shrinkToFit="0" vertical="center" wrapText="1"/>
    </xf>
    <xf borderId="3" fillId="6" fontId="7" numFmtId="0" xfId="0" applyAlignment="1" applyBorder="1" applyFill="1" applyFont="1">
      <alignment horizontal="center" shrinkToFit="0" vertical="center" wrapText="1"/>
    </xf>
    <xf borderId="3" fillId="4" fontId="9" numFmtId="0" xfId="0" applyAlignment="1" applyBorder="1" applyFont="1">
      <alignment horizontal="center" shrinkToFit="0" vertical="center" wrapText="0"/>
    </xf>
    <xf borderId="3" fillId="4" fontId="9" numFmtId="9" xfId="0" applyAlignment="1" applyBorder="1" applyFont="1" applyNumberFormat="1">
      <alignment horizontal="center" shrinkToFit="0" vertical="center" wrapText="0"/>
    </xf>
    <xf borderId="3" fillId="3" fontId="9" numFmtId="0" xfId="0" applyAlignment="1" applyBorder="1" applyFont="1">
      <alignment horizontal="center" shrinkToFit="0" vertical="center" wrapText="0"/>
    </xf>
    <xf borderId="3" fillId="3" fontId="9" numFmtId="9" xfId="0" applyAlignment="1" applyBorder="1" applyFont="1" applyNumberFormat="1">
      <alignment horizontal="center" shrinkToFit="0" vertical="center" wrapText="0"/>
    </xf>
    <xf borderId="3" fillId="2" fontId="7" numFmtId="0" xfId="0" applyAlignment="1" applyBorder="1" applyFont="1">
      <alignment horizontal="center" shrinkToFit="0" vertical="center" wrapText="0"/>
    </xf>
    <xf borderId="3" fillId="2" fontId="7" numFmtId="9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77.14"/>
    <col customWidth="1" min="3" max="26" width="8.71"/>
  </cols>
  <sheetData>
    <row r="1" ht="60.0" customHeight="1">
      <c r="A1" s="1" t="s">
        <v>0</v>
      </c>
      <c r="B1" s="2"/>
    </row>
    <row r="2" ht="19.5" customHeight="1"/>
    <row r="3" ht="18.0" customHeight="1">
      <c r="A3" s="3" t="s">
        <v>1</v>
      </c>
      <c r="B3" s="4" t="s">
        <v>2</v>
      </c>
    </row>
    <row r="4" ht="18.0" customHeight="1">
      <c r="A4" s="5" t="s">
        <v>3</v>
      </c>
      <c r="B4" s="6" t="s">
        <v>4</v>
      </c>
    </row>
    <row r="5" ht="18.0" customHeight="1">
      <c r="A5" s="3" t="s">
        <v>5</v>
      </c>
      <c r="B5" s="7" t="s">
        <v>6</v>
      </c>
    </row>
    <row r="6" ht="18.0" customHeight="1">
      <c r="A6" s="5" t="s">
        <v>7</v>
      </c>
      <c r="B6" s="8" t="s">
        <v>8</v>
      </c>
    </row>
    <row r="7" ht="18.0" customHeight="1">
      <c r="A7" s="3" t="s">
        <v>9</v>
      </c>
      <c r="B7" s="4" t="s">
        <v>10</v>
      </c>
    </row>
    <row r="8" ht="18.0" customHeight="1">
      <c r="A8" s="9"/>
      <c r="B8" s="8"/>
    </row>
    <row r="9" ht="18.0" customHeight="1">
      <c r="A9" s="10" t="s">
        <v>11</v>
      </c>
      <c r="B9" s="11"/>
    </row>
    <row r="10" ht="18.0" customHeight="1">
      <c r="A10" s="5" t="s">
        <v>12</v>
      </c>
      <c r="B10" s="8" t="s">
        <v>13</v>
      </c>
    </row>
    <row r="11" ht="18.0" customHeight="1">
      <c r="A11" s="3" t="s">
        <v>14</v>
      </c>
      <c r="B11" s="4" t="s">
        <v>15</v>
      </c>
    </row>
    <row r="12" ht="18.0" customHeight="1">
      <c r="A12" s="5" t="s">
        <v>16</v>
      </c>
      <c r="B12" s="8" t="s">
        <v>17</v>
      </c>
    </row>
    <row r="13" ht="18.0" customHeight="1">
      <c r="A13" s="3" t="s">
        <v>18</v>
      </c>
      <c r="B13" s="4" t="s">
        <v>19</v>
      </c>
    </row>
    <row r="14" ht="18.0" customHeight="1">
      <c r="A14" s="5" t="s">
        <v>20</v>
      </c>
      <c r="B14" s="8" t="s">
        <v>21</v>
      </c>
    </row>
    <row r="15" ht="18.0" customHeight="1">
      <c r="A15" s="3" t="s">
        <v>22</v>
      </c>
      <c r="B15" s="4" t="s">
        <v>23</v>
      </c>
    </row>
    <row r="16" ht="18.0" customHeight="1">
      <c r="A16" s="9"/>
      <c r="B16" s="8"/>
    </row>
    <row r="17" ht="18.0" customHeight="1">
      <c r="A17" s="10" t="s">
        <v>24</v>
      </c>
      <c r="B17" s="11"/>
    </row>
    <row r="18" ht="18.0" customHeight="1">
      <c r="A18" s="5" t="s">
        <v>25</v>
      </c>
      <c r="B18" s="8" t="s">
        <v>26</v>
      </c>
    </row>
    <row r="19" ht="18.0" customHeight="1">
      <c r="A19" s="3" t="s">
        <v>27</v>
      </c>
      <c r="B19" s="4" t="s">
        <v>28</v>
      </c>
    </row>
    <row r="20" ht="18.0" customHeight="1">
      <c r="A20" s="5" t="s">
        <v>29</v>
      </c>
      <c r="B20" s="8" t="s">
        <v>30</v>
      </c>
    </row>
    <row r="21" ht="18.0" customHeight="1">
      <c r="A21" s="3" t="s">
        <v>31</v>
      </c>
      <c r="B21" s="4" t="s">
        <v>32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3" width="32.0"/>
    <col customWidth="1" min="4" max="4" width="24.0"/>
    <col customWidth="1" min="5" max="5" width="40.0"/>
    <col customWidth="1" min="6" max="6" width="36.0"/>
    <col customWidth="1" min="7" max="23" width="8.71"/>
  </cols>
  <sheetData>
    <row r="1" ht="30.0" customHeight="1">
      <c r="A1" s="12" t="s">
        <v>33</v>
      </c>
      <c r="B1" s="12" t="s">
        <v>34</v>
      </c>
      <c r="C1" s="12" t="s">
        <v>35</v>
      </c>
      <c r="D1" s="12" t="s">
        <v>36</v>
      </c>
      <c r="E1" s="12" t="s">
        <v>37</v>
      </c>
      <c r="F1" s="12" t="s">
        <v>38</v>
      </c>
    </row>
    <row r="2" ht="54.75" customHeight="1">
      <c r="A2" s="13" t="s">
        <v>39</v>
      </c>
      <c r="B2" s="13" t="s">
        <v>40</v>
      </c>
      <c r="C2" s="14" t="s">
        <v>41</v>
      </c>
      <c r="D2" s="14" t="s">
        <v>42</v>
      </c>
      <c r="E2" s="14" t="s">
        <v>43</v>
      </c>
      <c r="F2" s="14" t="s">
        <v>44</v>
      </c>
    </row>
    <row r="3" ht="54.75" customHeight="1">
      <c r="A3" s="15" t="s">
        <v>45</v>
      </c>
      <c r="B3" s="15" t="s">
        <v>40</v>
      </c>
      <c r="C3" s="16" t="s">
        <v>46</v>
      </c>
      <c r="D3" s="16" t="s">
        <v>47</v>
      </c>
      <c r="E3" s="16" t="s">
        <v>48</v>
      </c>
      <c r="F3" s="16" t="s">
        <v>49</v>
      </c>
    </row>
    <row r="4" ht="54.75" customHeight="1">
      <c r="A4" s="13" t="s">
        <v>50</v>
      </c>
      <c r="B4" s="13" t="s">
        <v>40</v>
      </c>
      <c r="C4" s="14" t="s">
        <v>51</v>
      </c>
      <c r="D4" s="14" t="s">
        <v>52</v>
      </c>
      <c r="E4" s="14" t="s">
        <v>53</v>
      </c>
      <c r="F4" s="14" t="s">
        <v>54</v>
      </c>
    </row>
    <row r="5" ht="54.75" customHeight="1">
      <c r="A5" s="15" t="s">
        <v>55</v>
      </c>
      <c r="B5" s="15" t="s">
        <v>40</v>
      </c>
      <c r="C5" s="16" t="s">
        <v>56</v>
      </c>
      <c r="D5" s="16" t="s">
        <v>57</v>
      </c>
      <c r="E5" s="16" t="s">
        <v>58</v>
      </c>
      <c r="F5" s="16" t="s">
        <v>59</v>
      </c>
    </row>
    <row r="6" ht="54.75" customHeight="1">
      <c r="A6" s="13" t="s">
        <v>60</v>
      </c>
      <c r="B6" s="13" t="s">
        <v>40</v>
      </c>
      <c r="C6" s="14" t="s">
        <v>61</v>
      </c>
      <c r="D6" s="14" t="s">
        <v>62</v>
      </c>
      <c r="E6" s="14" t="s">
        <v>63</v>
      </c>
      <c r="F6" s="14" t="s">
        <v>64</v>
      </c>
    </row>
    <row r="7" ht="54.75" customHeight="1">
      <c r="A7" s="15" t="s">
        <v>65</v>
      </c>
      <c r="B7" s="15" t="s">
        <v>66</v>
      </c>
      <c r="C7" s="16" t="s">
        <v>67</v>
      </c>
      <c r="D7" s="16" t="s">
        <v>68</v>
      </c>
      <c r="E7" s="16" t="s">
        <v>69</v>
      </c>
      <c r="F7" s="16" t="s">
        <v>70</v>
      </c>
    </row>
    <row r="8" ht="54.75" customHeight="1">
      <c r="A8" s="13" t="s">
        <v>71</v>
      </c>
      <c r="B8" s="13" t="s">
        <v>66</v>
      </c>
      <c r="C8" s="14" t="s">
        <v>72</v>
      </c>
      <c r="D8" s="14" t="s">
        <v>73</v>
      </c>
      <c r="E8" s="14" t="s">
        <v>74</v>
      </c>
      <c r="F8" s="14" t="s">
        <v>75</v>
      </c>
    </row>
    <row r="9" ht="54.75" customHeight="1">
      <c r="A9" s="15" t="s">
        <v>76</v>
      </c>
      <c r="B9" s="15" t="s">
        <v>66</v>
      </c>
      <c r="C9" s="16" t="s">
        <v>77</v>
      </c>
      <c r="D9" s="16" t="s">
        <v>78</v>
      </c>
      <c r="E9" s="16" t="s">
        <v>79</v>
      </c>
      <c r="F9" s="16" t="s">
        <v>80</v>
      </c>
    </row>
    <row r="10" ht="54.75" customHeight="1">
      <c r="A10" s="13" t="s">
        <v>81</v>
      </c>
      <c r="B10" s="13" t="s">
        <v>66</v>
      </c>
      <c r="C10" s="14" t="s">
        <v>82</v>
      </c>
      <c r="D10" s="14" t="s">
        <v>78</v>
      </c>
      <c r="E10" s="14" t="s">
        <v>83</v>
      </c>
      <c r="F10" s="14" t="s">
        <v>84</v>
      </c>
    </row>
    <row r="11" ht="54.75" customHeight="1">
      <c r="A11" s="15" t="s">
        <v>85</v>
      </c>
      <c r="B11" s="15" t="s">
        <v>86</v>
      </c>
      <c r="C11" s="16" t="s">
        <v>87</v>
      </c>
      <c r="D11" s="16" t="s">
        <v>88</v>
      </c>
      <c r="E11" s="16" t="s">
        <v>89</v>
      </c>
      <c r="F11" s="16" t="s">
        <v>90</v>
      </c>
    </row>
    <row r="12" ht="54.75" customHeight="1">
      <c r="A12" s="13" t="s">
        <v>91</v>
      </c>
      <c r="B12" s="13" t="s">
        <v>86</v>
      </c>
      <c r="C12" s="14" t="s">
        <v>92</v>
      </c>
      <c r="D12" s="14" t="s">
        <v>93</v>
      </c>
      <c r="E12" s="14" t="s">
        <v>94</v>
      </c>
      <c r="F12" s="14" t="s">
        <v>95</v>
      </c>
    </row>
    <row r="13" ht="54.75" customHeight="1">
      <c r="A13" s="15" t="s">
        <v>96</v>
      </c>
      <c r="B13" s="15" t="s">
        <v>86</v>
      </c>
      <c r="C13" s="16" t="s">
        <v>97</v>
      </c>
      <c r="D13" s="16" t="s">
        <v>98</v>
      </c>
      <c r="E13" s="16" t="s">
        <v>99</v>
      </c>
      <c r="F13" s="16" t="s">
        <v>100</v>
      </c>
    </row>
    <row r="14" ht="54.75" customHeight="1">
      <c r="A14" s="13" t="s">
        <v>101</v>
      </c>
      <c r="B14" s="13" t="s">
        <v>86</v>
      </c>
      <c r="C14" s="14" t="s">
        <v>102</v>
      </c>
      <c r="D14" s="14" t="s">
        <v>103</v>
      </c>
      <c r="E14" s="14" t="s">
        <v>104</v>
      </c>
      <c r="F14" s="14" t="s">
        <v>105</v>
      </c>
    </row>
    <row r="15" ht="54.75" customHeight="1">
      <c r="A15" s="15" t="s">
        <v>106</v>
      </c>
      <c r="B15" s="15" t="s">
        <v>86</v>
      </c>
      <c r="C15" s="16" t="s">
        <v>107</v>
      </c>
      <c r="D15" s="16" t="s">
        <v>108</v>
      </c>
      <c r="E15" s="16" t="s">
        <v>109</v>
      </c>
      <c r="F15" s="16" t="s">
        <v>110</v>
      </c>
    </row>
    <row r="16" ht="54.75" customHeight="1">
      <c r="A16" s="13" t="s">
        <v>111</v>
      </c>
      <c r="B16" s="13" t="s">
        <v>86</v>
      </c>
      <c r="C16" s="14" t="s">
        <v>112</v>
      </c>
      <c r="D16" s="14" t="s">
        <v>113</v>
      </c>
      <c r="E16" s="14" t="s">
        <v>114</v>
      </c>
      <c r="F16" s="14" t="s">
        <v>115</v>
      </c>
    </row>
    <row r="17" ht="54.75" customHeight="1">
      <c r="A17" s="15" t="s">
        <v>116</v>
      </c>
      <c r="B17" s="15" t="s">
        <v>117</v>
      </c>
      <c r="C17" s="16" t="s">
        <v>118</v>
      </c>
      <c r="D17" s="16" t="s">
        <v>119</v>
      </c>
      <c r="E17" s="16" t="s">
        <v>120</v>
      </c>
      <c r="F17" s="16" t="s">
        <v>121</v>
      </c>
    </row>
    <row r="18" ht="54.75" customHeight="1">
      <c r="A18" s="13" t="s">
        <v>122</v>
      </c>
      <c r="B18" s="13" t="s">
        <v>117</v>
      </c>
      <c r="C18" s="14" t="s">
        <v>123</v>
      </c>
      <c r="D18" s="14" t="s">
        <v>124</v>
      </c>
      <c r="E18" s="14" t="s">
        <v>125</v>
      </c>
      <c r="F18" s="14" t="s">
        <v>126</v>
      </c>
    </row>
    <row r="19" ht="54.75" customHeight="1">
      <c r="A19" s="15" t="s">
        <v>127</v>
      </c>
      <c r="B19" s="15" t="s">
        <v>117</v>
      </c>
      <c r="C19" s="16" t="s">
        <v>128</v>
      </c>
      <c r="D19" s="16" t="s">
        <v>129</v>
      </c>
      <c r="E19" s="16" t="s">
        <v>130</v>
      </c>
      <c r="F19" s="16" t="s">
        <v>131</v>
      </c>
    </row>
    <row r="20" ht="54.75" customHeight="1">
      <c r="A20" s="13" t="s">
        <v>132</v>
      </c>
      <c r="B20" s="13" t="s">
        <v>133</v>
      </c>
      <c r="C20" s="14" t="s">
        <v>134</v>
      </c>
      <c r="D20" s="14" t="s">
        <v>129</v>
      </c>
      <c r="E20" s="14" t="s">
        <v>135</v>
      </c>
      <c r="F20" s="14" t="s">
        <v>136</v>
      </c>
    </row>
    <row r="21" ht="54.75" customHeight="1">
      <c r="A21" s="15" t="s">
        <v>137</v>
      </c>
      <c r="B21" s="15" t="s">
        <v>133</v>
      </c>
      <c r="C21" s="16" t="s">
        <v>138</v>
      </c>
      <c r="D21" s="16" t="s">
        <v>139</v>
      </c>
      <c r="E21" s="16" t="s">
        <v>140</v>
      </c>
      <c r="F21" s="16" t="s">
        <v>141</v>
      </c>
    </row>
    <row r="22" ht="54.75" customHeight="1">
      <c r="A22" s="13" t="s">
        <v>142</v>
      </c>
      <c r="B22" s="13" t="s">
        <v>133</v>
      </c>
      <c r="C22" s="14" t="s">
        <v>143</v>
      </c>
      <c r="D22" s="14" t="s">
        <v>144</v>
      </c>
      <c r="E22" s="14" t="s">
        <v>145</v>
      </c>
      <c r="F22" s="14" t="s">
        <v>146</v>
      </c>
    </row>
    <row r="23" ht="54.75" customHeight="1">
      <c r="A23" s="15" t="s">
        <v>147</v>
      </c>
      <c r="B23" s="15" t="s">
        <v>148</v>
      </c>
      <c r="C23" s="16" t="s">
        <v>149</v>
      </c>
      <c r="D23" s="16" t="s">
        <v>150</v>
      </c>
      <c r="E23" s="16" t="s">
        <v>151</v>
      </c>
      <c r="F23" s="16" t="s">
        <v>152</v>
      </c>
    </row>
    <row r="24" ht="54.75" customHeight="1">
      <c r="A24" s="13" t="s">
        <v>153</v>
      </c>
      <c r="B24" s="13" t="s">
        <v>148</v>
      </c>
      <c r="C24" s="14" t="s">
        <v>154</v>
      </c>
      <c r="D24" s="14" t="s">
        <v>150</v>
      </c>
      <c r="E24" s="14" t="s">
        <v>155</v>
      </c>
      <c r="F24" s="14" t="s">
        <v>156</v>
      </c>
    </row>
    <row r="25" ht="54.75" customHeight="1">
      <c r="A25" s="15" t="s">
        <v>157</v>
      </c>
      <c r="B25" s="15" t="s">
        <v>148</v>
      </c>
      <c r="C25" s="16" t="s">
        <v>158</v>
      </c>
      <c r="D25" s="16" t="s">
        <v>159</v>
      </c>
      <c r="E25" s="16" t="s">
        <v>160</v>
      </c>
      <c r="F25" s="16" t="s">
        <v>161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28.0"/>
    <col customWidth="1" min="4" max="4" width="44.0"/>
    <col customWidth="1" min="5" max="5" width="18.0"/>
    <col customWidth="1" min="6" max="24" width="8.71"/>
  </cols>
  <sheetData>
    <row r="1" ht="30.0" customHeight="1">
      <c r="A1" s="17" t="s">
        <v>33</v>
      </c>
      <c r="B1" s="17" t="s">
        <v>162</v>
      </c>
      <c r="C1" s="17" t="s">
        <v>163</v>
      </c>
      <c r="D1" s="17" t="s">
        <v>164</v>
      </c>
      <c r="E1" s="17" t="s">
        <v>165</v>
      </c>
    </row>
    <row r="2" ht="39.75" customHeight="1">
      <c r="A2" s="13" t="s">
        <v>166</v>
      </c>
      <c r="B2" s="13" t="s">
        <v>167</v>
      </c>
      <c r="C2" s="14" t="s">
        <v>168</v>
      </c>
      <c r="D2" s="14" t="s">
        <v>169</v>
      </c>
      <c r="E2" s="14" t="s">
        <v>170</v>
      </c>
    </row>
    <row r="3" ht="39.75" customHeight="1">
      <c r="A3" s="15" t="s">
        <v>171</v>
      </c>
      <c r="B3" s="15" t="s">
        <v>167</v>
      </c>
      <c r="C3" s="16" t="s">
        <v>172</v>
      </c>
      <c r="D3" s="16" t="s">
        <v>173</v>
      </c>
      <c r="E3" s="16" t="s">
        <v>174</v>
      </c>
    </row>
    <row r="4" ht="39.75" customHeight="1">
      <c r="A4" s="13" t="s">
        <v>175</v>
      </c>
      <c r="B4" s="13" t="s">
        <v>167</v>
      </c>
      <c r="C4" s="14" t="s">
        <v>176</v>
      </c>
      <c r="D4" s="14" t="s">
        <v>177</v>
      </c>
      <c r="E4" s="14" t="s">
        <v>178</v>
      </c>
    </row>
    <row r="5" ht="39.75" customHeight="1">
      <c r="A5" s="15" t="s">
        <v>179</v>
      </c>
      <c r="B5" s="15" t="s">
        <v>167</v>
      </c>
      <c r="C5" s="16" t="s">
        <v>180</v>
      </c>
      <c r="D5" s="16" t="s">
        <v>181</v>
      </c>
      <c r="E5" s="16" t="s">
        <v>182</v>
      </c>
    </row>
    <row r="6" ht="39.75" customHeight="1">
      <c r="A6" s="13" t="s">
        <v>183</v>
      </c>
      <c r="B6" s="13" t="s">
        <v>184</v>
      </c>
      <c r="C6" s="14" t="s">
        <v>185</v>
      </c>
      <c r="D6" s="14" t="s">
        <v>186</v>
      </c>
      <c r="E6" s="14" t="s">
        <v>182</v>
      </c>
    </row>
    <row r="7" ht="39.75" customHeight="1">
      <c r="A7" s="15" t="s">
        <v>187</v>
      </c>
      <c r="B7" s="15" t="s">
        <v>184</v>
      </c>
      <c r="C7" s="16" t="s">
        <v>188</v>
      </c>
      <c r="D7" s="16" t="s">
        <v>189</v>
      </c>
      <c r="E7" s="16" t="s">
        <v>182</v>
      </c>
    </row>
    <row r="8" ht="39.75" customHeight="1">
      <c r="A8" s="13" t="s">
        <v>190</v>
      </c>
      <c r="B8" s="13" t="s">
        <v>184</v>
      </c>
      <c r="C8" s="14" t="s">
        <v>191</v>
      </c>
      <c r="D8" s="14" t="s">
        <v>192</v>
      </c>
      <c r="E8" s="14" t="s">
        <v>193</v>
      </c>
    </row>
    <row r="9" ht="39.75" customHeight="1">
      <c r="A9" s="15" t="s">
        <v>194</v>
      </c>
      <c r="B9" s="15" t="s">
        <v>184</v>
      </c>
      <c r="C9" s="16" t="s">
        <v>195</v>
      </c>
      <c r="D9" s="16" t="s">
        <v>196</v>
      </c>
      <c r="E9" s="16" t="s">
        <v>197</v>
      </c>
    </row>
    <row r="10" ht="39.75" customHeight="1">
      <c r="A10" s="13" t="s">
        <v>198</v>
      </c>
      <c r="B10" s="13" t="s">
        <v>184</v>
      </c>
      <c r="C10" s="14" t="s">
        <v>199</v>
      </c>
      <c r="D10" s="14" t="s">
        <v>200</v>
      </c>
      <c r="E10" s="14" t="s">
        <v>182</v>
      </c>
    </row>
    <row r="11" ht="39.75" customHeight="1">
      <c r="A11" s="15" t="s">
        <v>201</v>
      </c>
      <c r="B11" s="15" t="s">
        <v>202</v>
      </c>
      <c r="C11" s="16" t="s">
        <v>203</v>
      </c>
      <c r="D11" s="16" t="s">
        <v>204</v>
      </c>
      <c r="E11" s="16" t="s">
        <v>197</v>
      </c>
    </row>
    <row r="12" ht="39.75" customHeight="1">
      <c r="A12" s="13" t="s">
        <v>205</v>
      </c>
      <c r="B12" s="13" t="s">
        <v>202</v>
      </c>
      <c r="C12" s="14" t="s">
        <v>206</v>
      </c>
      <c r="D12" s="14" t="s">
        <v>207</v>
      </c>
      <c r="E12" s="14" t="s">
        <v>197</v>
      </c>
    </row>
    <row r="13" ht="39.75" customHeight="1">
      <c r="A13" s="15" t="s">
        <v>208</v>
      </c>
      <c r="B13" s="15" t="s">
        <v>202</v>
      </c>
      <c r="C13" s="16" t="s">
        <v>209</v>
      </c>
      <c r="D13" s="16" t="s">
        <v>210</v>
      </c>
      <c r="E13" s="16" t="s">
        <v>197</v>
      </c>
    </row>
    <row r="14" ht="39.75" customHeight="1">
      <c r="A14" s="13" t="s">
        <v>211</v>
      </c>
      <c r="B14" s="13" t="s">
        <v>202</v>
      </c>
      <c r="C14" s="14" t="s">
        <v>212</v>
      </c>
      <c r="D14" s="14" t="s">
        <v>213</v>
      </c>
      <c r="E14" s="14" t="s">
        <v>214</v>
      </c>
    </row>
    <row r="15" ht="39.75" customHeight="1">
      <c r="A15" s="15" t="s">
        <v>215</v>
      </c>
      <c r="B15" s="15" t="s">
        <v>216</v>
      </c>
      <c r="C15" s="16" t="s">
        <v>217</v>
      </c>
      <c r="D15" s="16" t="s">
        <v>218</v>
      </c>
      <c r="E15" s="16" t="s">
        <v>197</v>
      </c>
    </row>
    <row r="16" ht="39.75" customHeight="1">
      <c r="A16" s="13" t="s">
        <v>219</v>
      </c>
      <c r="B16" s="13" t="s">
        <v>216</v>
      </c>
      <c r="C16" s="14" t="s">
        <v>220</v>
      </c>
      <c r="D16" s="14" t="s">
        <v>221</v>
      </c>
      <c r="E16" s="14" t="s">
        <v>222</v>
      </c>
    </row>
    <row r="17" ht="39.75" customHeight="1">
      <c r="A17" s="15" t="s">
        <v>223</v>
      </c>
      <c r="B17" s="15" t="s">
        <v>216</v>
      </c>
      <c r="C17" s="16" t="s">
        <v>224</v>
      </c>
      <c r="D17" s="16" t="s">
        <v>225</v>
      </c>
      <c r="E17" s="16" t="s">
        <v>182</v>
      </c>
    </row>
    <row r="18" ht="39.75" customHeight="1">
      <c r="A18" s="13" t="s">
        <v>226</v>
      </c>
      <c r="B18" s="13" t="s">
        <v>227</v>
      </c>
      <c r="C18" s="14" t="s">
        <v>228</v>
      </c>
      <c r="D18" s="14" t="s">
        <v>229</v>
      </c>
      <c r="E18" s="14" t="s">
        <v>182</v>
      </c>
    </row>
    <row r="19" ht="39.75" customHeight="1">
      <c r="A19" s="15" t="s">
        <v>230</v>
      </c>
      <c r="B19" s="15" t="s">
        <v>227</v>
      </c>
      <c r="C19" s="16" t="s">
        <v>231</v>
      </c>
      <c r="D19" s="16" t="s">
        <v>232</v>
      </c>
      <c r="E19" s="16" t="s">
        <v>182</v>
      </c>
    </row>
    <row r="20" ht="39.75" customHeight="1">
      <c r="A20" s="13" t="s">
        <v>233</v>
      </c>
      <c r="B20" s="13" t="s">
        <v>227</v>
      </c>
      <c r="C20" s="14" t="s">
        <v>234</v>
      </c>
      <c r="D20" s="14" t="s">
        <v>235</v>
      </c>
      <c r="E20" s="14" t="s">
        <v>182</v>
      </c>
    </row>
    <row r="21" ht="39.75" customHeight="1">
      <c r="A21" s="15" t="s">
        <v>236</v>
      </c>
      <c r="B21" s="15" t="s">
        <v>227</v>
      </c>
      <c r="C21" s="16" t="s">
        <v>237</v>
      </c>
      <c r="D21" s="16" t="s">
        <v>238</v>
      </c>
      <c r="E21" s="16" t="s">
        <v>182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5" width="14.0"/>
    <col customWidth="1" min="6" max="6" width="16.0"/>
    <col customWidth="1" min="7" max="26" width="8.71"/>
  </cols>
  <sheetData>
    <row r="1" ht="30.0" customHeight="1">
      <c r="A1" s="12" t="s">
        <v>34</v>
      </c>
      <c r="B1" s="12" t="s">
        <v>239</v>
      </c>
      <c r="C1" s="12" t="s">
        <v>240</v>
      </c>
      <c r="D1" s="12" t="s">
        <v>241</v>
      </c>
      <c r="E1" s="12" t="s">
        <v>242</v>
      </c>
      <c r="F1" s="12" t="s">
        <v>243</v>
      </c>
    </row>
    <row r="2" ht="21.75" customHeight="1">
      <c r="A2" s="18" t="s">
        <v>40</v>
      </c>
      <c r="B2" s="18">
        <v>5.0</v>
      </c>
      <c r="C2" s="18">
        <v>0.0</v>
      </c>
      <c r="D2" s="18">
        <v>0.0</v>
      </c>
      <c r="E2" s="18">
        <v>5.0</v>
      </c>
      <c r="F2" s="19">
        <f t="shared" ref="F2:F9" si="1">C2/B2</f>
        <v>0</v>
      </c>
    </row>
    <row r="3" ht="21.75" customHeight="1">
      <c r="A3" s="20" t="s">
        <v>66</v>
      </c>
      <c r="B3" s="20">
        <v>4.0</v>
      </c>
      <c r="C3" s="20">
        <v>0.0</v>
      </c>
      <c r="D3" s="20">
        <v>0.0</v>
      </c>
      <c r="E3" s="20">
        <v>4.0</v>
      </c>
      <c r="F3" s="21">
        <f t="shared" si="1"/>
        <v>0</v>
      </c>
    </row>
    <row r="4" ht="21.75" customHeight="1">
      <c r="A4" s="18" t="s">
        <v>86</v>
      </c>
      <c r="B4" s="18">
        <v>6.0</v>
      </c>
      <c r="C4" s="18">
        <v>0.0</v>
      </c>
      <c r="D4" s="18">
        <v>0.0</v>
      </c>
      <c r="E4" s="18">
        <v>6.0</v>
      </c>
      <c r="F4" s="19">
        <f t="shared" si="1"/>
        <v>0</v>
      </c>
    </row>
    <row r="5" ht="21.75" customHeight="1">
      <c r="A5" s="20" t="s">
        <v>117</v>
      </c>
      <c r="B5" s="20">
        <v>3.0</v>
      </c>
      <c r="C5" s="20">
        <v>0.0</v>
      </c>
      <c r="D5" s="20">
        <v>0.0</v>
      </c>
      <c r="E5" s="20">
        <v>3.0</v>
      </c>
      <c r="F5" s="21">
        <f t="shared" si="1"/>
        <v>0</v>
      </c>
    </row>
    <row r="6" ht="21.75" customHeight="1">
      <c r="A6" s="18" t="s">
        <v>133</v>
      </c>
      <c r="B6" s="18">
        <v>3.0</v>
      </c>
      <c r="C6" s="18">
        <v>0.0</v>
      </c>
      <c r="D6" s="18">
        <v>0.0</v>
      </c>
      <c r="E6" s="18">
        <v>3.0</v>
      </c>
      <c r="F6" s="19">
        <f t="shared" si="1"/>
        <v>0</v>
      </c>
    </row>
    <row r="7" ht="21.75" customHeight="1">
      <c r="A7" s="20" t="s">
        <v>148</v>
      </c>
      <c r="B7" s="20">
        <v>3.0</v>
      </c>
      <c r="C7" s="20">
        <v>0.0</v>
      </c>
      <c r="D7" s="20">
        <v>0.0</v>
      </c>
      <c r="E7" s="20">
        <v>3.0</v>
      </c>
      <c r="F7" s="21">
        <f t="shared" si="1"/>
        <v>0</v>
      </c>
    </row>
    <row r="8" ht="21.75" customHeight="1">
      <c r="A8" s="18" t="s">
        <v>244</v>
      </c>
      <c r="B8" s="18">
        <v>20.0</v>
      </c>
      <c r="C8" s="18">
        <v>0.0</v>
      </c>
      <c r="D8" s="18">
        <v>0.0</v>
      </c>
      <c r="E8" s="18">
        <v>20.0</v>
      </c>
      <c r="F8" s="19">
        <f t="shared" si="1"/>
        <v>0</v>
      </c>
    </row>
    <row r="9" ht="21.75" customHeight="1">
      <c r="A9" s="22" t="s">
        <v>245</v>
      </c>
      <c r="B9" s="22">
        <f t="shared" ref="B9:E9" si="2">SUM(B2:B8)</f>
        <v>44</v>
      </c>
      <c r="C9" s="22">
        <f t="shared" si="2"/>
        <v>0</v>
      </c>
      <c r="D9" s="22">
        <f t="shared" si="2"/>
        <v>0</v>
      </c>
      <c r="E9" s="22">
        <f t="shared" si="2"/>
        <v>44</v>
      </c>
      <c r="F9" s="2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2026-05-23T06:09:46Z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